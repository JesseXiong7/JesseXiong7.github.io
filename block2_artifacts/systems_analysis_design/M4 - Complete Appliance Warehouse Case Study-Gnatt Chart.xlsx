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codeName="ThisWorkbook"/>
  <xr:revisionPtr revIDLastSave="262" documentId="8_{AFF8FE48-5E22-4950-85D2-8E9B714BE397}" xr6:coauthVersionLast="36" xr6:coauthVersionMax="47" xr10:uidLastSave="{19D0DA61-3DF1-4A18-A79A-D61BE04F5074}"/>
  <bookViews>
    <workbookView xWindow="-12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61" i="11" l="1"/>
  <c r="E61" i="11"/>
  <c r="F59" i="11"/>
  <c r="E59" i="11"/>
  <c r="F57" i="11"/>
  <c r="E57" i="11"/>
  <c r="F55" i="11"/>
  <c r="E55" i="11"/>
  <c r="F53" i="11"/>
  <c r="E53" i="11"/>
  <c r="H7" i="11" l="1"/>
  <c r="E3" i="11" l="1"/>
  <c r="E9" i="11" s="1"/>
  <c r="F9" i="11" l="1"/>
  <c r="E11" i="11" s="1"/>
  <c r="I5" i="11"/>
  <c r="H53" i="11"/>
  <c r="H52" i="11"/>
  <c r="H41" i="11"/>
  <c r="H30" i="11"/>
  <c r="H19" i="11"/>
  <c r="H8" i="11"/>
  <c r="H9" i="11" l="1"/>
  <c r="F11" i="11"/>
  <c r="E13" i="11" s="1"/>
  <c r="I6" i="11"/>
  <c r="H11" i="11" l="1"/>
  <c r="F13" i="11"/>
  <c r="E15" i="11" s="1"/>
  <c r="F15" i="11" s="1"/>
  <c r="J5" i="11"/>
  <c r="K5" i="11" s="1"/>
  <c r="L5" i="11" s="1"/>
  <c r="M5" i="11" s="1"/>
  <c r="N5" i="11" s="1"/>
  <c r="O5" i="11" s="1"/>
  <c r="P5" i="11" s="1"/>
  <c r="I4" i="11"/>
  <c r="H36" i="11" l="1"/>
  <c r="H13" i="11"/>
  <c r="P4" i="11"/>
  <c r="Q5" i="11"/>
  <c r="R5" i="11" s="1"/>
  <c r="S5" i="11" s="1"/>
  <c r="T5" i="11" s="1"/>
  <c r="U5" i="11" s="1"/>
  <c r="V5" i="11" s="1"/>
  <c r="W5" i="11" s="1"/>
  <c r="J6" i="11"/>
  <c r="H15" i="11" l="1"/>
  <c r="E17" i="11"/>
  <c r="W4" i="11"/>
  <c r="X5" i="11"/>
  <c r="Y5" i="11" s="1"/>
  <c r="Z5" i="11" s="1"/>
  <c r="AA5" i="11" s="1"/>
  <c r="AB5" i="11" s="1"/>
  <c r="AC5" i="11" s="1"/>
  <c r="AD5" i="11" s="1"/>
  <c r="K6" i="11"/>
  <c r="F17" i="11" l="1"/>
  <c r="AE5" i="11"/>
  <c r="AF5" i="11" s="1"/>
  <c r="AG5" i="11" s="1"/>
  <c r="AH5" i="11" s="1"/>
  <c r="AI5" i="11" s="1"/>
  <c r="AJ5" i="11" s="1"/>
  <c r="AD4" i="11"/>
  <c r="L6" i="11"/>
  <c r="H17" i="11" l="1"/>
  <c r="E20" i="11"/>
  <c r="F20" i="11" s="1"/>
  <c r="E22" i="11" s="1"/>
  <c r="AK5" i="11"/>
  <c r="AL5" i="11" s="1"/>
  <c r="AM5" i="11" s="1"/>
  <c r="AN5" i="11" s="1"/>
  <c r="AO5" i="11" s="1"/>
  <c r="AP5" i="11" s="1"/>
  <c r="AQ5" i="11" s="1"/>
  <c r="M6" i="11"/>
  <c r="H20" i="11" l="1"/>
  <c r="F22" i="11"/>
  <c r="AR5" i="11"/>
  <c r="AS5" i="11" s="1"/>
  <c r="AK4" i="11"/>
  <c r="N6" i="11"/>
  <c r="E24" i="11" l="1"/>
  <c r="F24" i="11" s="1"/>
  <c r="H22" i="11"/>
  <c r="AT5" i="11"/>
  <c r="AS6" i="11"/>
  <c r="AR4" i="11"/>
  <c r="O6" i="11"/>
  <c r="H24" i="11" l="1"/>
  <c r="E26" i="11"/>
  <c r="F26" i="11" s="1"/>
  <c r="AU5" i="11"/>
  <c r="AT6" i="11"/>
  <c r="H26" i="11" l="1"/>
  <c r="E28" i="11"/>
  <c r="AV5" i="11"/>
  <c r="AU6" i="11"/>
  <c r="P6" i="11"/>
  <c r="Q6" i="11"/>
  <c r="F28" i="11" l="1"/>
  <c r="E31" i="11" s="1"/>
  <c r="AW5" i="11"/>
  <c r="AV6" i="11"/>
  <c r="R6" i="11"/>
  <c r="H28" i="11" l="1"/>
  <c r="AX5" i="11"/>
  <c r="AY5" i="11" s="1"/>
  <c r="AW6" i="11"/>
  <c r="S6" i="11"/>
  <c r="F31" i="11" l="1"/>
  <c r="E33" i="11" s="1"/>
  <c r="E35" i="11" s="1"/>
  <c r="AY6" i="11"/>
  <c r="AZ5" i="11"/>
  <c r="AY4" i="11"/>
  <c r="AX6" i="11"/>
  <c r="T6" i="11"/>
  <c r="H31" i="11" l="1"/>
  <c r="F33" i="11"/>
  <c r="BA5" i="11"/>
  <c r="AZ6" i="11"/>
  <c r="U6" i="11"/>
  <c r="H33" i="11" l="1"/>
  <c r="F35" i="11"/>
  <c r="BA6" i="11"/>
  <c r="BB5" i="11"/>
  <c r="V6" i="11"/>
  <c r="E37" i="11" l="1"/>
  <c r="F37" i="11" s="1"/>
  <c r="E39" i="11" s="1"/>
  <c r="F39" i="11" s="1"/>
  <c r="E42" i="11" s="1"/>
  <c r="F42" i="11" s="1"/>
  <c r="H35" i="11"/>
  <c r="H37" i="11"/>
  <c r="BB6" i="11"/>
  <c r="BC5" i="11"/>
  <c r="W6" i="11"/>
  <c r="H42" i="11" l="1"/>
  <c r="E44" i="11"/>
  <c r="BC6" i="11"/>
  <c r="BD5" i="11"/>
  <c r="X6" i="11"/>
  <c r="F44" i="11" l="1"/>
  <c r="BE5" i="11"/>
  <c r="BD6" i="11"/>
  <c r="Y6" i="11"/>
  <c r="H44" i="11" l="1"/>
  <c r="E46" i="11"/>
  <c r="BE6" i="11"/>
  <c r="BF5" i="11"/>
  <c r="Z6" i="11"/>
  <c r="F46" i="11" l="1"/>
  <c r="BF6" i="11"/>
  <c r="BG5" i="11"/>
  <c r="BF4" i="11"/>
  <c r="AA6" i="11"/>
  <c r="H46" i="11" l="1"/>
  <c r="E48" i="11"/>
  <c r="F48" i="11" s="1"/>
  <c r="BG6" i="11"/>
  <c r="BH5" i="11"/>
  <c r="AB6" i="11"/>
  <c r="H50" i="11" l="1"/>
  <c r="H48" i="11"/>
  <c r="BI5" i="1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<sst xmlns="http://schemas.openxmlformats.org/spreadsheetml/2006/main" count="98" uniqueCount="97">
  <si>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</si>
  <si>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</si>
  <si>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</si>
  <si>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</si>
  <si>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</si>
  <si>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</si>
  <si>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</si>
  <si>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</si>
  <si>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</si>
  <si>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</si>
  <si>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</si>
  <si>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</si>
  <si>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</si>
  <si>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</si>
  <si>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</si>
  <si>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</si>
  <si>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</si>
  <si>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</si>
  <si>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</si>
  <si>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</si>
  <si>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</si>
  <si>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</si>
  <si>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</si>
  <si>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</si>
  <si>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</si>
  <si>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Name</t>
  </si>
  <si>
    <t>Sample phase title block</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</si>
  <si>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</si>
  <si>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</si>
  <si>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</si>
  <si>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</si>
  <si>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</si>
  <si>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</si>
  <si>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</si>
  <si>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</si>
  <si>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</si>
  <si>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</si>
  <si>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</si>
  <si>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</si>
  <si>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Appliance Warehouse</t>
  </si>
  <si>
    <t>Jesse Xiong</t>
  </si>
  <si>
    <t>Service Department Project</t>
  </si>
  <si>
    <t>Define Project Scope</t>
  </si>
  <si>
    <t>Identify stakeholders</t>
  </si>
  <si>
    <t>Develop initial Project Plan</t>
  </si>
  <si>
    <t xml:space="preserve"> - The process of defining the boundaries and requirements of a project </t>
  </si>
  <si>
    <t xml:space="preserve"> - Determine who will be involved or affected by the project</t>
  </si>
  <si>
    <t xml:space="preserve">  - create a preliminary plan including timeline, resources, and major milestones</t>
  </si>
  <si>
    <t>Conduct Risk Assessment</t>
  </si>
  <si>
    <t xml:space="preserve">  - Identify potential risks and develop mitigation strategies</t>
  </si>
  <si>
    <t>Finalize Project Charter</t>
  </si>
  <si>
    <t xml:space="preserve">  - Document the projects purpose, goals, and stakeholders to formalize the start of the project.</t>
  </si>
  <si>
    <t>Gather System Requirements</t>
  </si>
  <si>
    <t xml:space="preserve">  - Collect detailed requirements from users, stakeholders, and business processes. </t>
  </si>
  <si>
    <t>Conduct Industry Analysis</t>
  </si>
  <si>
    <t xml:space="preserve">  - Research industry standards, competitors, and best practices. </t>
  </si>
  <si>
    <t>Identify System Integration Needs</t>
  </si>
  <si>
    <t xml:space="preserve">  - Determine how the new system will integrate with existing systems. </t>
  </si>
  <si>
    <t>Assess Current System Limitations</t>
  </si>
  <si>
    <t xml:space="preserve">  - Analyze the existing system to understand its shortcomings and areas for improvement. </t>
  </si>
  <si>
    <t>Document Findings</t>
  </si>
  <si>
    <t xml:space="preserve">  - Compile the data and insights gathered during the analysis. </t>
  </si>
  <si>
    <t xml:space="preserve">Planning Phase - Focuses on defining the scope, objectives, and key deliverables of the project. It sets the foundation for the entire project. </t>
  </si>
  <si>
    <t xml:space="preserve">Analysis Phase - This phase is dedicated to understanding the current state, fathering requirements, and analyzing what the new system needs to accomplish. </t>
  </si>
  <si>
    <t xml:space="preserve">Design Phase - It involves creating the blueprint for the system, including the architecture, interfaces, and database design. </t>
  </si>
  <si>
    <t>Develop System Architecture</t>
  </si>
  <si>
    <t xml:space="preserve">  - Outline the system structure, components, and how they interact. </t>
  </si>
  <si>
    <t>Design User Interfaces</t>
  </si>
  <si>
    <t xml:space="preserve">  - Create wireframes and mockups for the system's user interfaces. </t>
  </si>
  <si>
    <t>Create Database for Schema</t>
  </si>
  <si>
    <t xml:space="preserve">  - Design the database structure, including tables, relationships, and data types. </t>
  </si>
  <si>
    <t>Develop System Prototypes</t>
  </si>
  <si>
    <t xml:space="preserve">  - Build a prototype or a basic version of the system to validate design concepts. </t>
  </si>
  <si>
    <t>Review Design with Stakeholders</t>
  </si>
  <si>
    <t xml:space="preserve">  - Present the deisgn to stakeholders for feedback and adjustments. </t>
  </si>
  <si>
    <t>Implementation Phase - This is where the system is built, tested, and prepared for deployment</t>
  </si>
  <si>
    <t>Develop Software Modules</t>
  </si>
  <si>
    <t xml:space="preserve">  - Code the different components of the system according to the design specifications. </t>
  </si>
  <si>
    <t>Perform System Testing</t>
  </si>
  <si>
    <t>Integrate System Components</t>
  </si>
  <si>
    <t xml:space="preserve">Conduct User Training </t>
  </si>
  <si>
    <t>Deploy System to Production</t>
  </si>
  <si>
    <t xml:space="preserve">  - Conduct various testing phases, including unit, integration, and user acceptance testing. </t>
  </si>
  <si>
    <t xml:space="preserve">  - Combine all system components and ensure they work together smoothly.</t>
  </si>
  <si>
    <t xml:space="preserve">  - Train end-users on how to use the new system effectively. </t>
  </si>
  <si>
    <t xml:space="preserve">  - Launch the system in the live environment, making it fully operational. </t>
  </si>
  <si>
    <t xml:space="preserve">Security/Maintenance Phase - This phase focuses on ensuring the system remains secure, functional, and up-to-date. </t>
  </si>
  <si>
    <t>Implement Security Protocols</t>
  </si>
  <si>
    <t xml:space="preserve">  - Set up security measures, such as access controls and encryption. </t>
  </si>
  <si>
    <t>Monitor System Performance</t>
  </si>
  <si>
    <t>Conduct Regular System Audits</t>
  </si>
  <si>
    <t>Provide Ongoing Support</t>
  </si>
  <si>
    <t>Apply Software Updates</t>
  </si>
  <si>
    <t xml:space="preserve">  - Continuously track the system's performance to identify any isssues. </t>
  </si>
  <si>
    <t xml:space="preserve">  - Perform routine checks to ensure the system is secure and functioning as intended.</t>
  </si>
  <si>
    <t xml:space="preserve">  - Offer technical support to users, resolving issues as they arise.</t>
  </si>
  <si>
    <t xml:space="preserve">  - Regularly update the system to address bugs, security vulnerabilities, or add new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</si>
</sst>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bgColor indexed="64"/>
      </patternFill>
    </fill>
    <fill>
      <patternFill patternType="solid">
        <fgColor theme="9" tint="0.79998168889431442"/>
        <bgColor indexed="64"/>
      </patternFill>
    </fill>
  </fills>
  <borders count="15">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medium">
        <color theme="0" tint="-0.14996795556505021"/>
      </bottom>
      <diagonal/>
    </border>
    <border>
      <left/>
      <right/>
      <top style="medium">
        <color theme="0" tint="-0.14996795556505021"/>
      </top>
      <bottom/>
      <diagonal/>
    </border>
    <border>
      <left/>
      <right/>
      <top style="medium">
        <color theme="0" tint="-0.14996795556505021"/>
      </top>
      <bottom style="thin">
        <color indexed="64"/>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3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11"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4" borderId="2" xfId="10" applyFill="1">
      <alignment horizontal="center" vertical="center"/>
    </xf>
    <xf numFmtId="0" fontId="9" fillId="3"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9" fontId="5" fillId="15" borderId="2" xfId="2" applyFont="1" applyFill="1" applyBorder="1" applyAlignment="1">
      <alignment horizontal="center" vertical="center"/>
    </xf>
    <xf numFmtId="0" fontId="9" fillId="3" borderId="12" xfId="11" applyFill="1" applyBorder="1">
      <alignment horizontal="center" vertical="center"/>
    </xf>
    <xf numFmtId="9" fontId="5" fillId="3" borderId="12" xfId="2" applyFont="1" applyFill="1" applyBorder="1" applyAlignment="1">
      <alignment horizontal="center" vertical="center"/>
    </xf>
    <xf numFmtId="164" fontId="9" fillId="3" borderId="12" xfId="10" applyFill="1" applyBorder="1">
      <alignment horizontal="center" vertical="center"/>
    </xf>
    <xf numFmtId="0" fontId="9" fillId="3" borderId="13" xfId="12" applyFill="1" applyBorder="1">
      <alignment horizontal="left" vertical="center" indent="2"/>
    </xf>
    <xf numFmtId="0" fontId="9" fillId="3" borderId="13" xfId="11" applyFill="1" applyBorder="1">
      <alignment horizontal="center" vertical="center"/>
    </xf>
    <xf numFmtId="9" fontId="5" fillId="3" borderId="13" xfId="2" applyFont="1" applyFill="1" applyBorder="1" applyAlignment="1">
      <alignment horizontal="center" vertical="center"/>
    </xf>
    <xf numFmtId="164" fontId="9" fillId="3" borderId="13" xfId="10" applyFill="1" applyBorder="1">
      <alignment horizontal="center" vertical="center"/>
    </xf>
    <xf numFmtId="0" fontId="9" fillId="4" borderId="12" xfId="11" applyFill="1" applyBorder="1">
      <alignment horizontal="center" vertical="center"/>
    </xf>
    <xf numFmtId="9" fontId="5" fillId="4" borderId="12" xfId="2" applyFont="1" applyFill="1" applyBorder="1" applyAlignment="1">
      <alignment horizontal="center" vertical="center"/>
    </xf>
    <xf numFmtId="164" fontId="9" fillId="4" borderId="12" xfId="10" applyFill="1" applyBorder="1">
      <alignment horizontal="center" vertical="center"/>
    </xf>
    <xf numFmtId="0" fontId="9" fillId="4" borderId="13" xfId="11" applyFill="1" applyBorder="1">
      <alignment horizontal="center" vertical="center"/>
    </xf>
    <xf numFmtId="9" fontId="5" fillId="4" borderId="13" xfId="2" applyFont="1" applyFill="1" applyBorder="1" applyAlignment="1">
      <alignment horizontal="center" vertical="center"/>
    </xf>
    <xf numFmtId="164" fontId="9" fillId="4" borderId="13" xfId="10" applyFill="1" applyBorder="1">
      <alignment horizontal="center" vertical="center"/>
    </xf>
    <xf numFmtId="0" fontId="9" fillId="11" borderId="12" xfId="11" applyFill="1" applyBorder="1">
      <alignment horizontal="center" vertical="center"/>
    </xf>
    <xf numFmtId="9" fontId="5" fillId="11" borderId="12" xfId="2" applyFont="1" applyFill="1" applyBorder="1" applyAlignment="1">
      <alignment horizontal="center" vertical="center"/>
    </xf>
    <xf numFmtId="164" fontId="9" fillId="11" borderId="12" xfId="10" applyFill="1" applyBorder="1">
      <alignment horizontal="center" vertical="center"/>
    </xf>
    <xf numFmtId="0" fontId="9" fillId="11" borderId="13" xfId="12" applyFill="1" applyBorder="1">
      <alignment horizontal="left" vertical="center" indent="2"/>
    </xf>
    <xf numFmtId="0" fontId="9" fillId="11" borderId="13" xfId="11" applyFill="1" applyBorder="1">
      <alignment horizontal="center" vertical="center"/>
    </xf>
    <xf numFmtId="164" fontId="9" fillId="11" borderId="13" xfId="10" applyFill="1" applyBorder="1">
      <alignment horizontal="center" vertical="center"/>
    </xf>
    <xf numFmtId="0" fontId="9" fillId="10" borderId="12" xfId="11" applyFill="1" applyBorder="1">
      <alignment horizontal="center" vertical="center"/>
    </xf>
    <xf numFmtId="9" fontId="5" fillId="10" borderId="12" xfId="2" applyFont="1" applyFill="1" applyBorder="1" applyAlignment="1">
      <alignment horizontal="center" vertical="center"/>
    </xf>
    <xf numFmtId="164" fontId="9" fillId="10" borderId="12" xfId="10" applyFill="1" applyBorder="1">
      <alignment horizontal="center" vertical="center"/>
    </xf>
    <xf numFmtId="0" fontId="9" fillId="10" borderId="13" xfId="12" applyFill="1" applyBorder="1">
      <alignment horizontal="left" vertical="center" indent="2"/>
    </xf>
    <xf numFmtId="0" fontId="9" fillId="10" borderId="13" xfId="11" applyFill="1" applyBorder="1">
      <alignment horizontal="center" vertical="center"/>
    </xf>
    <xf numFmtId="9" fontId="5" fillId="10" borderId="13" xfId="2" applyFont="1" applyFill="1" applyBorder="1" applyAlignment="1">
      <alignment horizontal="center" vertical="center"/>
    </xf>
    <xf numFmtId="0" fontId="9" fillId="15" borderId="12" xfId="11" applyFill="1" applyBorder="1">
      <alignment horizontal="center" vertical="center"/>
    </xf>
    <xf numFmtId="9" fontId="5" fillId="15" borderId="12" xfId="2" applyFont="1" applyFill="1" applyBorder="1" applyAlignment="1">
      <alignment horizontal="center" vertical="center"/>
    </xf>
    <xf numFmtId="164" fontId="9" fillId="15" borderId="12" xfId="10" applyFill="1" applyBorder="1">
      <alignment horizontal="center" vertical="center"/>
    </xf>
    <xf numFmtId="0" fontId="6" fillId="8" borderId="11" xfId="0" applyFont="1" applyFill="1" applyBorder="1" applyAlignment="1">
      <alignment horizontal="left" vertical="center" indent="1"/>
    </xf>
    <xf numFmtId="0" fontId="6" fillId="9" borderId="11" xfId="0" applyFont="1" applyFill="1" applyBorder="1" applyAlignment="1">
      <alignment horizontal="left" vertical="center" indent="1"/>
    </xf>
    <xf numFmtId="0" fontId="6" fillId="6" borderId="11" xfId="0" applyFont="1" applyFill="1" applyBorder="1" applyAlignment="1">
      <alignment horizontal="left" vertical="center" indent="1"/>
    </xf>
    <xf numFmtId="0" fontId="6" fillId="5" borderId="11" xfId="0" applyFont="1" applyFill="1" applyBorder="1" applyAlignment="1">
      <alignment horizontal="left" vertical="center" indent="1"/>
    </xf>
    <xf numFmtId="0" fontId="9" fillId="0" borderId="0" xfId="8">
      <alignment horizontal="right" indent="1"/>
    </xf>
    <xf numFmtId="0" fontId="9" fillId="0" borderId="7" xfId="8" applyBorder="1">
      <alignment horizontal="right" indent="1"/>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xf numFmtId="0" fontId="0" fillId="3" borderId="12" xfId="12" applyFont="1" applyFill="1" applyBorder="1">
      <alignment horizontal="left" vertical="center" indent="2"/>
    </xf>
    <xf numFmtId="0" fontId="0" fillId="4" borderId="12" xfId="12" applyFont="1" applyFill="1" applyBorder="1">
      <alignment horizontal="left" vertical="center" indent="2"/>
    </xf>
    <xf numFmtId="0" fontId="0" fillId="4" borderId="0" xfId="12" applyFont="1" applyFill="1" applyBorder="1">
      <alignment horizontal="left" vertical="center" indent="2"/>
    </xf>
    <xf numFmtId="0" fontId="0" fillId="11" borderId="12" xfId="12" applyFont="1" applyFill="1" applyBorder="1">
      <alignment horizontal="left" vertical="center" indent="2"/>
    </xf>
    <xf numFmtId="0" fontId="0" fillId="11" borderId="0" xfId="12" applyFont="1" applyFill="1" applyBorder="1">
      <alignment horizontal="left" vertical="center" indent="2"/>
    </xf>
    <xf numFmtId="164" fontId="9" fillId="11" borderId="0" xfId="10" applyFill="1" applyBorder="1">
      <alignment horizontal="center" vertical="center"/>
    </xf>
    <xf numFmtId="0" fontId="0" fillId="10" borderId="12" xfId="12" applyFont="1" applyFill="1" applyBorder="1">
      <alignment horizontal="left" vertical="center" indent="2"/>
    </xf>
    <xf numFmtId="0" fontId="5" fillId="2" borderId="0" xfId="0" applyFont="1" applyFill="1" applyBorder="1" applyAlignment="1">
      <alignment horizontal="center" vertical="center"/>
    </xf>
    <xf numFmtId="0" fontId="0" fillId="2" borderId="0" xfId="0" applyFill="1" applyBorder="1" applyAlignment="1">
      <alignment vertical="center"/>
    </xf>
    <xf numFmtId="0" fontId="0" fillId="15" borderId="12" xfId="12" applyFont="1" applyFill="1" applyBorder="1">
      <alignment horizontal="left" vertical="center" indent="2"/>
    </xf>
    <xf numFmtId="0" fontId="0" fillId="3" borderId="2" xfId="12" applyFont="1" applyFill="1" applyBorder="1">
      <alignment horizontal="left" vertical="center" indent="2"/>
    </xf>
    <xf numFmtId="0" fontId="9" fillId="3" borderId="2" xfId="11" applyFill="1" applyBorder="1">
      <alignment horizontal="center" vertical="center"/>
    </xf>
    <xf numFmtId="164" fontId="9" fillId="3" borderId="2" xfId="10" applyFill="1" applyBorder="1">
      <alignment horizontal="center" vertical="center"/>
    </xf>
    <xf numFmtId="0" fontId="0" fillId="4" borderId="2" xfId="12" applyFont="1" applyFill="1" applyBorder="1">
      <alignment horizontal="left" vertical="center" indent="2"/>
    </xf>
    <xf numFmtId="0" fontId="9" fillId="4" borderId="2" xfId="11" applyFill="1" applyBorder="1">
      <alignment horizontal="center" vertical="center"/>
    </xf>
    <xf numFmtId="164" fontId="9" fillId="4" borderId="2" xfId="10" applyFill="1" applyBorder="1">
      <alignment horizontal="center" vertical="center"/>
    </xf>
    <xf numFmtId="0" fontId="0" fillId="11" borderId="2" xfId="12" applyFont="1" applyFill="1" applyBorder="1">
      <alignment horizontal="left" vertical="center" indent="2"/>
    </xf>
    <xf numFmtId="0" fontId="9" fillId="11" borderId="2" xfId="11" applyFill="1" applyBorder="1">
      <alignment horizontal="center" vertical="center"/>
    </xf>
    <xf numFmtId="164" fontId="9" fillId="11" borderId="2" xfId="10" applyFill="1" applyBorder="1">
      <alignment horizontal="center" vertical="center"/>
    </xf>
    <xf numFmtId="0" fontId="0" fillId="10" borderId="2" xfId="12" applyFont="1" applyFill="1" applyBorder="1">
      <alignment horizontal="left" vertical="center" indent="2"/>
    </xf>
    <xf numFmtId="0" fontId="9" fillId="10" borderId="2" xfId="11" applyFill="1" applyBorder="1">
      <alignment horizontal="center" vertical="center"/>
    </xf>
    <xf numFmtId="164" fontId="9" fillId="10" borderId="2" xfId="10" applyFill="1" applyBorder="1">
      <alignment horizontal="center" vertical="center"/>
    </xf>
    <xf numFmtId="0" fontId="0" fillId="15" borderId="2" xfId="12" applyFont="1" applyFill="1" applyBorder="1">
      <alignment horizontal="left" vertical="center" indent="2"/>
    </xf>
    <xf numFmtId="0" fontId="9" fillId="15" borderId="2" xfId="11" applyFill="1" applyBorder="1">
      <alignment horizontal="center" vertical="center"/>
    </xf>
    <xf numFmtId="164" fontId="9" fillId="15" borderId="2" xfId="10" applyFill="1" applyBorder="1">
      <alignment horizontal="center" vertical="center"/>
    </xf>
    <xf numFmtId="0" fontId="9" fillId="0" borderId="12" xfId="12" applyBorder="1">
      <alignment horizontal="left" vertical="center" indent="2"/>
    </xf>
    <xf numFmtId="0" fontId="9" fillId="0" borderId="12" xfId="11" applyBorder="1">
      <alignment horizontal="center" vertical="center"/>
    </xf>
    <xf numFmtId="9" fontId="5" fillId="0" borderId="12" xfId="2" applyFont="1" applyBorder="1" applyAlignment="1">
      <alignment horizontal="center" vertical="center"/>
    </xf>
    <xf numFmtId="164" fontId="9" fillId="0" borderId="12" xfId="10" applyBorder="1">
      <alignment horizontal="center" vertical="center"/>
    </xf>
    <xf numFmtId="0" fontId="0" fillId="15" borderId="14" xfId="12" applyFont="1" applyFill="1" applyBorder="1">
      <alignment horizontal="left" vertical="center" indent="2"/>
    </xf>
    <xf numFmtId="0" fontId="9" fillId="15" borderId="14" xfId="11" applyFill="1" applyBorder="1">
      <alignment horizontal="center" vertical="center"/>
    </xf>
    <xf numFmtId="9" fontId="5" fillId="15" borderId="14" xfId="2" applyFont="1" applyFill="1" applyBorder="1" applyAlignment="1">
      <alignment horizontal="center" vertical="center"/>
    </xf>
    <xf numFmtId="164" fontId="9" fillId="15" borderId="14" xfId="10" applyFill="1" applyBorder="1">
      <alignment horizontal="center" vertical="center"/>
    </xf>
    <xf numFmtId="0" fontId="6" fillId="14" borderId="11" xfId="12" applyFont="1" applyFill="1" applyBorder="1">
      <alignment horizontal="left" vertical="center" indent="2"/>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7"/>
  <sheetViews>
    <sheetView showGridLines="0" tabSelected="1" showRuler="0" zoomScaleNormal="100" zoomScalePageLayoutView="70" workbookViewId="0">
      <pane ySplit="6" topLeftCell="A7" activePane="bottomLeft" state="frozen"/>
      <selection pane="bottomLeft" activeCell="F62" sqref="F62"/>
    </sheetView>
  </sheetViews>
  <sheetFormatPr defaultRowHeight="30" customHeight="1" x14ac:dyDescent="0.25"/>
  <cols>
    <col min="1" max="1" width="2.7109375" style="41" customWidth="1"/>
    <col min="2" max="2" width="89.28515625" bestFit="1"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2" t="s">
        <v>29</v>
      </c>
      <c r="B1" s="45" t="s">
        <v>41</v>
      </c>
      <c r="C1" s="1"/>
      <c r="D1" s="2"/>
      <c r="E1" s="4"/>
      <c r="F1" s="30"/>
      <c r="H1" s="2"/>
      <c r="I1" s="56"/>
    </row>
    <row r="2" spans="1:64" ht="30" customHeight="1" x14ac:dyDescent="0.3">
      <c r="A2" s="41" t="s">
        <v>24</v>
      </c>
      <c r="B2" s="46" t="s">
        <v>39</v>
      </c>
      <c r="I2" s="57"/>
    </row>
    <row r="3" spans="1:64" ht="30" customHeight="1" x14ac:dyDescent="0.25">
      <c r="A3" s="41" t="s">
        <v>36</v>
      </c>
      <c r="B3" s="47" t="s">
        <v>40</v>
      </c>
      <c r="C3" s="92" t="s">
        <v>1</v>
      </c>
      <c r="D3" s="93"/>
      <c r="E3" s="97">
        <f ca="1">TODAY()</f>
        <v>45553</v>
      </c>
      <c r="F3" s="97"/>
    </row>
    <row r="4" spans="1:64" ht="30" customHeight="1" x14ac:dyDescent="0.25">
      <c r="A4" s="42" t="s">
        <v>30</v>
      </c>
      <c r="C4" s="92" t="s">
        <v>8</v>
      </c>
      <c r="D4" s="93"/>
      <c r="E4" s="7">
        <v>1</v>
      </c>
      <c r="I4" s="94">
        <f ca="1">I5</f>
        <v>45551</v>
      </c>
      <c r="J4" s="95"/>
      <c r="K4" s="95"/>
      <c r="L4" s="95"/>
      <c r="M4" s="95"/>
      <c r="N4" s="95"/>
      <c r="O4" s="96"/>
      <c r="P4" s="94">
        <f ca="1">P5</f>
        <v>45558</v>
      </c>
      <c r="Q4" s="95"/>
      <c r="R4" s="95"/>
      <c r="S4" s="95"/>
      <c r="T4" s="95"/>
      <c r="U4" s="95"/>
      <c r="V4" s="96"/>
      <c r="W4" s="94">
        <f ca="1">W5</f>
        <v>45565</v>
      </c>
      <c r="X4" s="95"/>
      <c r="Y4" s="95"/>
      <c r="Z4" s="95"/>
      <c r="AA4" s="95"/>
      <c r="AB4" s="95"/>
      <c r="AC4" s="96"/>
      <c r="AD4" s="94">
        <f ca="1">AD5</f>
        <v>45572</v>
      </c>
      <c r="AE4" s="95"/>
      <c r="AF4" s="95"/>
      <c r="AG4" s="95"/>
      <c r="AH4" s="95"/>
      <c r="AI4" s="95"/>
      <c r="AJ4" s="96"/>
      <c r="AK4" s="94">
        <f ca="1">AK5</f>
        <v>45579</v>
      </c>
      <c r="AL4" s="95"/>
      <c r="AM4" s="95"/>
      <c r="AN4" s="95"/>
      <c r="AO4" s="95"/>
      <c r="AP4" s="95"/>
      <c r="AQ4" s="96"/>
      <c r="AR4" s="94">
        <f ca="1">AR5</f>
        <v>45586</v>
      </c>
      <c r="AS4" s="95"/>
      <c r="AT4" s="95"/>
      <c r="AU4" s="95"/>
      <c r="AV4" s="95"/>
      <c r="AW4" s="95"/>
      <c r="AX4" s="96"/>
      <c r="AY4" s="94">
        <f ca="1">AY5</f>
        <v>45593</v>
      </c>
      <c r="AZ4" s="95"/>
      <c r="BA4" s="95"/>
      <c r="BB4" s="95"/>
      <c r="BC4" s="95"/>
      <c r="BD4" s="95"/>
      <c r="BE4" s="96"/>
      <c r="BF4" s="94">
        <f ca="1">BF5</f>
        <v>45600</v>
      </c>
      <c r="BG4" s="95"/>
      <c r="BH4" s="95"/>
      <c r="BI4" s="95"/>
      <c r="BJ4" s="95"/>
      <c r="BK4" s="95"/>
      <c r="BL4" s="96"/>
    </row>
    <row r="5" spans="1:64" ht="15" customHeight="1" x14ac:dyDescent="0.25">
      <c r="A5" s="42" t="s">
        <v>31</v>
      </c>
      <c r="B5" s="55"/>
      <c r="C5" s="55"/>
      <c r="D5" s="55"/>
      <c r="E5" s="55"/>
      <c r="F5" s="55"/>
      <c r="G5" s="55"/>
      <c r="I5" s="11">
        <f ca="1">Project_Start-WEEKDAY(Project_Start,1)+2+7*(Display_Week-1)</f>
        <v>45551</v>
      </c>
      <c r="J5" s="10">
        <f ca="1">I5+1</f>
        <v>45552</v>
      </c>
      <c r="K5" s="10">
        <f t="shared" ref="K5:AX5" ca="1" si="0">J5+1</f>
        <v>45553</v>
      </c>
      <c r="L5" s="10">
        <f t="shared" ca="1" si="0"/>
        <v>45554</v>
      </c>
      <c r="M5" s="10">
        <f t="shared" ca="1" si="0"/>
        <v>45555</v>
      </c>
      <c r="N5" s="10">
        <f t="shared" ca="1" si="0"/>
        <v>45556</v>
      </c>
      <c r="O5" s="12">
        <f t="shared" ca="1" si="0"/>
        <v>45557</v>
      </c>
      <c r="P5" s="11">
        <f ca="1">O5+1</f>
        <v>45558</v>
      </c>
      <c r="Q5" s="10">
        <f ca="1">P5+1</f>
        <v>45559</v>
      </c>
      <c r="R5" s="10">
        <f t="shared" ca="1" si="0"/>
        <v>45560</v>
      </c>
      <c r="S5" s="10">
        <f t="shared" ca="1" si="0"/>
        <v>45561</v>
      </c>
      <c r="T5" s="10">
        <f t="shared" ca="1" si="0"/>
        <v>45562</v>
      </c>
      <c r="U5" s="10">
        <f t="shared" ca="1" si="0"/>
        <v>45563</v>
      </c>
      <c r="V5" s="12">
        <f t="shared" ca="1" si="0"/>
        <v>45564</v>
      </c>
      <c r="W5" s="11">
        <f ca="1">V5+1</f>
        <v>45565</v>
      </c>
      <c r="X5" s="10">
        <f ca="1">W5+1</f>
        <v>45566</v>
      </c>
      <c r="Y5" s="10">
        <f t="shared" ca="1" si="0"/>
        <v>45567</v>
      </c>
      <c r="Z5" s="10">
        <f t="shared" ca="1" si="0"/>
        <v>45568</v>
      </c>
      <c r="AA5" s="10">
        <f t="shared" ca="1" si="0"/>
        <v>45569</v>
      </c>
      <c r="AB5" s="10">
        <f t="shared" ca="1" si="0"/>
        <v>45570</v>
      </c>
      <c r="AC5" s="12">
        <f t="shared" ca="1" si="0"/>
        <v>45571</v>
      </c>
      <c r="AD5" s="11">
        <f ca="1">AC5+1</f>
        <v>45572</v>
      </c>
      <c r="AE5" s="10">
        <f ca="1">AD5+1</f>
        <v>45573</v>
      </c>
      <c r="AF5" s="10">
        <f t="shared" ca="1" si="0"/>
        <v>45574</v>
      </c>
      <c r="AG5" s="10">
        <f t="shared" ca="1" si="0"/>
        <v>45575</v>
      </c>
      <c r="AH5" s="10">
        <f t="shared" ca="1" si="0"/>
        <v>45576</v>
      </c>
      <c r="AI5" s="10">
        <f t="shared" ca="1" si="0"/>
        <v>45577</v>
      </c>
      <c r="AJ5" s="12">
        <f t="shared" ca="1" si="0"/>
        <v>45578</v>
      </c>
      <c r="AK5" s="11">
        <f ca="1">AJ5+1</f>
        <v>45579</v>
      </c>
      <c r="AL5" s="10">
        <f ca="1">AK5+1</f>
        <v>45580</v>
      </c>
      <c r="AM5" s="10">
        <f t="shared" ca="1" si="0"/>
        <v>45581</v>
      </c>
      <c r="AN5" s="10">
        <f t="shared" ca="1" si="0"/>
        <v>45582</v>
      </c>
      <c r="AO5" s="10">
        <f t="shared" ca="1" si="0"/>
        <v>45583</v>
      </c>
      <c r="AP5" s="10">
        <f t="shared" ca="1" si="0"/>
        <v>45584</v>
      </c>
      <c r="AQ5" s="12">
        <f t="shared" ca="1" si="0"/>
        <v>45585</v>
      </c>
      <c r="AR5" s="11">
        <f ca="1">AQ5+1</f>
        <v>45586</v>
      </c>
      <c r="AS5" s="10">
        <f ca="1">AR5+1</f>
        <v>45587</v>
      </c>
      <c r="AT5" s="10">
        <f t="shared" ca="1" si="0"/>
        <v>45588</v>
      </c>
      <c r="AU5" s="10">
        <f t="shared" ca="1" si="0"/>
        <v>45589</v>
      </c>
      <c r="AV5" s="10">
        <f t="shared" ca="1" si="0"/>
        <v>45590</v>
      </c>
      <c r="AW5" s="10">
        <f t="shared" ca="1" si="0"/>
        <v>45591</v>
      </c>
      <c r="AX5" s="12">
        <f t="shared" ca="1" si="0"/>
        <v>45592</v>
      </c>
      <c r="AY5" s="11">
        <f ca="1">AX5+1</f>
        <v>45593</v>
      </c>
      <c r="AZ5" s="10">
        <f ca="1">AY5+1</f>
        <v>45594</v>
      </c>
      <c r="BA5" s="10">
        <f t="shared" ref="BA5:BE5" ca="1" si="1">AZ5+1</f>
        <v>45595</v>
      </c>
      <c r="BB5" s="10">
        <f t="shared" ca="1" si="1"/>
        <v>45596</v>
      </c>
      <c r="BC5" s="10">
        <f t="shared" ca="1" si="1"/>
        <v>45597</v>
      </c>
      <c r="BD5" s="10">
        <f t="shared" ca="1" si="1"/>
        <v>45598</v>
      </c>
      <c r="BE5" s="12">
        <f t="shared" ca="1" si="1"/>
        <v>45599</v>
      </c>
      <c r="BF5" s="11">
        <f ca="1">BE5+1</f>
        <v>45600</v>
      </c>
      <c r="BG5" s="10">
        <f ca="1">BF5+1</f>
        <v>45601</v>
      </c>
      <c r="BH5" s="10">
        <f t="shared" ref="BH5:BL5" ca="1" si="2">BG5+1</f>
        <v>45602</v>
      </c>
      <c r="BI5" s="10">
        <f t="shared" ca="1" si="2"/>
        <v>45603</v>
      </c>
      <c r="BJ5" s="10">
        <f t="shared" ca="1" si="2"/>
        <v>45604</v>
      </c>
      <c r="BK5" s="10">
        <f t="shared" ca="1" si="2"/>
        <v>45605</v>
      </c>
      <c r="BL5" s="12">
        <f t="shared" ca="1" si="2"/>
        <v>45606</v>
      </c>
    </row>
    <row r="6" spans="1:64" ht="30" customHeight="1" thickBot="1" x14ac:dyDescent="0.3">
      <c r="A6" s="42" t="s">
        <v>32</v>
      </c>
      <c r="B6" s="8" t="s">
        <v>9</v>
      </c>
      <c r="C6" s="9" t="s">
        <v>3</v>
      </c>
      <c r="D6" s="9" t="s">
        <v>2</v>
      </c>
      <c r="E6" s="9" t="s">
        <v>5</v>
      </c>
      <c r="F6" s="9" t="s">
        <v>6</v>
      </c>
      <c r="G6" s="9"/>
      <c r="H6" s="9" t="s">
        <v>7</v>
      </c>
      <c r="I6" s="13" t="str">
        <f t="shared" ref="I6" ca="1" si="3">LEFT(TEXT(I5,"ddd"),1)</f>
        <v>M</v>
      </c>
      <c r="J6" s="13" t="str">
        <f t="shared" ref="J6:AR6" ca="1" si="4">LEFT(TEXT(J5,"ddd"),1)</f>
        <v>T</v>
      </c>
      <c r="K6" s="13" t="str">
        <f t="shared" ca="1" si="4"/>
        <v>W</v>
      </c>
      <c r="L6" s="13" t="str">
        <f t="shared" ca="1" si="4"/>
        <v>T</v>
      </c>
      <c r="M6" s="13" t="str">
        <f t="shared" ca="1" si="4"/>
        <v>F</v>
      </c>
      <c r="N6" s="13" t="str">
        <f t="shared" ca="1" si="4"/>
        <v>S</v>
      </c>
      <c r="O6" s="13" t="str">
        <f t="shared" ca="1" si="4"/>
        <v>S</v>
      </c>
      <c r="P6" s="13" t="str">
        <f t="shared" ca="1" si="4"/>
        <v>M</v>
      </c>
      <c r="Q6" s="13" t="str">
        <f t="shared" ca="1" si="4"/>
        <v>T</v>
      </c>
      <c r="R6" s="13" t="str">
        <f t="shared" ca="1" si="4"/>
        <v>W</v>
      </c>
      <c r="S6" s="13" t="str">
        <f t="shared" ca="1" si="4"/>
        <v>T</v>
      </c>
      <c r="T6" s="13" t="str">
        <f t="shared" ca="1" si="4"/>
        <v>F</v>
      </c>
      <c r="U6" s="13" t="str">
        <f t="shared" ca="1" si="4"/>
        <v>S</v>
      </c>
      <c r="V6" s="13" t="str">
        <f t="shared" ca="1" si="4"/>
        <v>S</v>
      </c>
      <c r="W6" s="13" t="str">
        <f t="shared" ca="1" si="4"/>
        <v>M</v>
      </c>
      <c r="X6" s="13" t="str">
        <f t="shared" ca="1" si="4"/>
        <v>T</v>
      </c>
      <c r="Y6" s="13" t="str">
        <f t="shared" ca="1" si="4"/>
        <v>W</v>
      </c>
      <c r="Z6" s="13" t="str">
        <f t="shared" ca="1" si="4"/>
        <v>T</v>
      </c>
      <c r="AA6" s="13" t="str">
        <f t="shared" ca="1" si="4"/>
        <v>F</v>
      </c>
      <c r="AB6" s="13" t="str">
        <f t="shared" ca="1" si="4"/>
        <v>S</v>
      </c>
      <c r="AC6" s="13" t="str">
        <f t="shared" ca="1" si="4"/>
        <v>S</v>
      </c>
      <c r="AD6" s="13" t="str">
        <f t="shared" ca="1" si="4"/>
        <v>M</v>
      </c>
      <c r="AE6" s="13" t="str">
        <f t="shared" ca="1" si="4"/>
        <v>T</v>
      </c>
      <c r="AF6" s="13" t="str">
        <f t="shared" ca="1" si="4"/>
        <v>W</v>
      </c>
      <c r="AG6" s="13" t="str">
        <f t="shared" ca="1" si="4"/>
        <v>T</v>
      </c>
      <c r="AH6" s="13" t="str">
        <f t="shared" ca="1" si="4"/>
        <v>F</v>
      </c>
      <c r="AI6" s="13" t="str">
        <f t="shared" ca="1" si="4"/>
        <v>S</v>
      </c>
      <c r="AJ6" s="13" t="str">
        <f t="shared" ca="1" si="4"/>
        <v>S</v>
      </c>
      <c r="AK6" s="13" t="str">
        <f t="shared" ca="1" si="4"/>
        <v>M</v>
      </c>
      <c r="AL6" s="13" t="str">
        <f t="shared" ca="1" si="4"/>
        <v>T</v>
      </c>
      <c r="AM6" s="13" t="str">
        <f t="shared" ca="1" si="4"/>
        <v>W</v>
      </c>
      <c r="AN6" s="13" t="str">
        <f t="shared" ca="1" si="4"/>
        <v>T</v>
      </c>
      <c r="AO6" s="13" t="str">
        <f t="shared" ca="1" si="4"/>
        <v>F</v>
      </c>
      <c r="AP6" s="13" t="str">
        <f t="shared" ca="1" si="4"/>
        <v>S</v>
      </c>
      <c r="AQ6" s="13" t="str">
        <f t="shared" ca="1" si="4"/>
        <v>S</v>
      </c>
      <c r="AR6" s="13" t="str">
        <f t="shared" ca="1" si="4"/>
        <v>M</v>
      </c>
      <c r="AS6" s="13" t="str">
        <f t="shared" ref="AS6:BL6" ca="1" si="5">LEFT(TEXT(AS5,"ddd"),1)</f>
        <v>T</v>
      </c>
      <c r="AT6" s="13" t="str">
        <f t="shared" ca="1" si="5"/>
        <v>W</v>
      </c>
      <c r="AU6" s="13" t="str">
        <f t="shared" ca="1" si="5"/>
        <v>T</v>
      </c>
      <c r="AV6" s="13" t="str">
        <f t="shared" ca="1" si="5"/>
        <v>F</v>
      </c>
      <c r="AW6" s="13" t="str">
        <f t="shared" ca="1" si="5"/>
        <v>S</v>
      </c>
      <c r="AX6" s="13" t="str">
        <f t="shared" ca="1" si="5"/>
        <v>S</v>
      </c>
      <c r="AY6" s="13" t="str">
        <f t="shared" ca="1" si="5"/>
        <v>M</v>
      </c>
      <c r="AZ6" s="13" t="str">
        <f t="shared" ca="1" si="5"/>
        <v>T</v>
      </c>
      <c r="BA6" s="13" t="str">
        <f t="shared" ca="1" si="5"/>
        <v>W</v>
      </c>
      <c r="BB6" s="13" t="str">
        <f t="shared" ca="1" si="5"/>
        <v>T</v>
      </c>
      <c r="BC6" s="13" t="str">
        <f t="shared" ca="1" si="5"/>
        <v>F</v>
      </c>
      <c r="BD6" s="13" t="str">
        <f t="shared" ca="1" si="5"/>
        <v>S</v>
      </c>
      <c r="BE6" s="13" t="str">
        <f t="shared" ca="1" si="5"/>
        <v>S</v>
      </c>
      <c r="BF6" s="13" t="str">
        <f t="shared" ca="1" si="5"/>
        <v>M</v>
      </c>
      <c r="BG6" s="13" t="str">
        <f t="shared" ca="1" si="5"/>
        <v>T</v>
      </c>
      <c r="BH6" s="13" t="str">
        <f t="shared" ca="1" si="5"/>
        <v>W</v>
      </c>
      <c r="BI6" s="13" t="str">
        <f t="shared" ca="1" si="5"/>
        <v>T</v>
      </c>
      <c r="BJ6" s="13" t="str">
        <f t="shared" ca="1" si="5"/>
        <v>F</v>
      </c>
      <c r="BK6" s="13" t="str">
        <f t="shared" ca="1" si="5"/>
        <v>S</v>
      </c>
      <c r="BL6" s="13" t="str">
        <f t="shared" ca="1" si="5"/>
        <v>S</v>
      </c>
    </row>
    <row r="7" spans="1:64" ht="30" hidden="1" customHeight="1" thickBot="1" x14ac:dyDescent="0.3">
      <c r="A7" s="41" t="s">
        <v>37</v>
      </c>
      <c r="C7" s="44"/>
      <c r="E7"/>
      <c r="H7" t="str">
        <f>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spans="1:64" s="3" customFormat="1" ht="30" customHeight="1" thickBot="1" x14ac:dyDescent="0.3">
      <c r="A8" s="42" t="s">
        <v>33</v>
      </c>
      <c r="B8" s="88" t="s">
        <v>62</v>
      </c>
      <c r="C8" s="88"/>
      <c r="D8" s="88"/>
      <c r="E8" s="88"/>
      <c r="F8" s="88"/>
      <c r="G8" s="16"/>
      <c r="H8" s="16" t="str">
        <f t="shared" ref="H8:H53" si="6">IF(OR(ISBLANK(task_start),ISBLANK(task_end)),"",task_end-task_start+1)</f>
        <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row>
    <row r="9" spans="1:64" s="3" customFormat="1" ht="30" customHeight="1" thickBot="1" x14ac:dyDescent="0.3">
      <c r="A9" s="42" t="s">
        <v>38</v>
      </c>
      <c r="B9" s="98" t="s">
        <v>42</v>
      </c>
      <c r="C9" s="60" t="s">
        <v>25</v>
      </c>
      <c r="D9" s="61"/>
      <c r="E9" s="62">
        <f ca="1">Project_Start</f>
        <v>45553</v>
      </c>
      <c r="F9" s="62">
        <f ca="1">E9+3</f>
        <v>45556</v>
      </c>
      <c r="G9" s="16"/>
      <c r="H9" s="16">
        <f t="shared" ca="1" si="6"/>
        <v>4</v>
      </c>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row>
    <row r="10" spans="1:64" s="3" customFormat="1" ht="30" customHeight="1" thickBot="1" x14ac:dyDescent="0.3">
      <c r="A10" s="42"/>
      <c r="B10" s="98" t="s">
        <v>45</v>
      </c>
      <c r="C10" s="60"/>
      <c r="D10" s="61"/>
      <c r="E10" s="62"/>
      <c r="F10" s="62"/>
      <c r="G10" s="16"/>
      <c r="H10" s="16"/>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row>
    <row r="11" spans="1:64" s="3" customFormat="1" ht="30" customHeight="1" thickBot="1" x14ac:dyDescent="0.3">
      <c r="A11" s="42" t="s">
        <v>34</v>
      </c>
      <c r="B11" s="108" t="s">
        <v>43</v>
      </c>
      <c r="C11" s="109"/>
      <c r="D11" s="17"/>
      <c r="E11" s="110">
        <f ca="1">F9</f>
        <v>45556</v>
      </c>
      <c r="F11" s="110">
        <f ca="1">E11+2</f>
        <v>45558</v>
      </c>
      <c r="G11" s="16"/>
      <c r="H11" s="16">
        <f t="shared" ca="1" si="6"/>
        <v>3</v>
      </c>
      <c r="I11" s="27"/>
      <c r="J11" s="27"/>
      <c r="K11" s="27"/>
      <c r="L11" s="27"/>
      <c r="M11" s="27"/>
      <c r="N11" s="27"/>
      <c r="O11" s="27"/>
      <c r="P11" s="27"/>
      <c r="Q11" s="27"/>
      <c r="R11" s="27"/>
      <c r="S11" s="27"/>
      <c r="T11" s="27"/>
      <c r="U11" s="28"/>
      <c r="V11" s="28"/>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row>
    <row r="12" spans="1:64" s="3" customFormat="1" ht="30" customHeight="1" thickBot="1" x14ac:dyDescent="0.3">
      <c r="A12" s="42"/>
      <c r="B12" s="108" t="s">
        <v>46</v>
      </c>
      <c r="C12" s="109"/>
      <c r="D12" s="17"/>
      <c r="E12" s="110"/>
      <c r="F12" s="110"/>
      <c r="G12" s="16"/>
      <c r="H12" s="16"/>
      <c r="I12" s="27"/>
      <c r="J12" s="27"/>
      <c r="K12" s="27"/>
      <c r="L12" s="27"/>
      <c r="M12" s="27"/>
      <c r="N12" s="27"/>
      <c r="O12" s="27"/>
      <c r="P12" s="27"/>
      <c r="Q12" s="27"/>
      <c r="R12" s="27"/>
      <c r="S12" s="27"/>
      <c r="T12" s="27"/>
      <c r="U12" s="28"/>
      <c r="V12" s="28"/>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row>
    <row r="13" spans="1:64" s="3" customFormat="1" ht="30" customHeight="1" thickBot="1" x14ac:dyDescent="0.3">
      <c r="A13" s="41"/>
      <c r="B13" s="108" t="s">
        <v>44</v>
      </c>
      <c r="C13" s="109"/>
      <c r="D13" s="17"/>
      <c r="E13" s="110">
        <f ca="1">F11</f>
        <v>45558</v>
      </c>
      <c r="F13" s="110">
        <f ca="1">E13+4</f>
        <v>45562</v>
      </c>
      <c r="G13" s="16"/>
      <c r="H13" s="16">
        <f t="shared" ca="1" si="6"/>
        <v>5</v>
      </c>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row>
    <row r="14" spans="1:64" s="3" customFormat="1" ht="30" customHeight="1" thickBot="1" x14ac:dyDescent="0.3">
      <c r="A14" s="41"/>
      <c r="B14" s="108" t="s">
        <v>47</v>
      </c>
      <c r="C14" s="109"/>
      <c r="D14" s="17"/>
      <c r="E14" s="110"/>
      <c r="F14" s="110"/>
      <c r="G14" s="16"/>
      <c r="H14" s="16"/>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row>
    <row r="15" spans="1:64" s="3" customFormat="1" ht="30" customHeight="1" thickBot="1" x14ac:dyDescent="0.3">
      <c r="A15" s="41"/>
      <c r="B15" s="108" t="s">
        <v>48</v>
      </c>
      <c r="C15" s="109"/>
      <c r="D15" s="17"/>
      <c r="E15" s="110">
        <f ca="1">F13</f>
        <v>45562</v>
      </c>
      <c r="F15" s="110">
        <f ca="1">E15+3</f>
        <v>45565</v>
      </c>
      <c r="G15" s="16"/>
      <c r="H15" s="16">
        <f t="shared" ca="1" si="6"/>
        <v>4</v>
      </c>
      <c r="I15" s="27"/>
      <c r="J15" s="27"/>
      <c r="K15" s="27"/>
      <c r="L15" s="27"/>
      <c r="M15" s="27"/>
      <c r="N15" s="27"/>
      <c r="O15" s="27"/>
      <c r="P15" s="27"/>
      <c r="Q15" s="27"/>
      <c r="R15" s="27"/>
      <c r="S15" s="27"/>
      <c r="T15" s="27"/>
      <c r="U15" s="27"/>
      <c r="V15" s="27"/>
      <c r="W15" s="27"/>
      <c r="X15" s="27"/>
      <c r="Y15" s="28"/>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row>
    <row r="16" spans="1:64" s="3" customFormat="1" ht="30" customHeight="1" thickBot="1" x14ac:dyDescent="0.3">
      <c r="A16" s="41"/>
      <c r="B16" s="108" t="s">
        <v>49</v>
      </c>
      <c r="C16" s="109"/>
      <c r="D16" s="65"/>
      <c r="E16" s="110"/>
      <c r="F16" s="110"/>
      <c r="G16" s="16"/>
      <c r="H16" s="16"/>
      <c r="I16" s="27"/>
      <c r="J16" s="27"/>
      <c r="K16" s="27"/>
      <c r="L16" s="27"/>
      <c r="M16" s="27"/>
      <c r="N16" s="27"/>
      <c r="O16" s="27"/>
      <c r="P16" s="27"/>
      <c r="Q16" s="27"/>
      <c r="R16" s="27"/>
      <c r="S16" s="27"/>
      <c r="T16" s="27"/>
      <c r="U16" s="27"/>
      <c r="V16" s="27"/>
      <c r="W16" s="27"/>
      <c r="X16" s="27"/>
      <c r="Y16" s="28"/>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row>
    <row r="17" spans="1:64" s="3" customFormat="1" ht="30" customHeight="1" thickBot="1" x14ac:dyDescent="0.3">
      <c r="A17" s="41"/>
      <c r="B17" s="51" t="s">
        <v>50</v>
      </c>
      <c r="C17" s="49"/>
      <c r="D17" s="65"/>
      <c r="E17" s="66">
        <f ca="1">F15+1</f>
        <v>45566</v>
      </c>
      <c r="F17" s="66">
        <f ca="1">E17+2</f>
        <v>45568</v>
      </c>
      <c r="G17" s="16"/>
      <c r="H17" s="16">
        <f t="shared" ca="1" si="6"/>
        <v>3</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row>
    <row r="18" spans="1:64" s="3" customFormat="1" ht="30" customHeight="1" thickBot="1" x14ac:dyDescent="0.3">
      <c r="A18" s="41"/>
      <c r="B18" s="63" t="s">
        <v>51</v>
      </c>
      <c r="C18" s="64"/>
      <c r="D18" s="65"/>
      <c r="E18" s="65"/>
      <c r="F18" s="65"/>
      <c r="G18" s="16"/>
      <c r="H18" s="16"/>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row>
    <row r="19" spans="1:64" s="3" customFormat="1" ht="30" customHeight="1" thickBot="1" x14ac:dyDescent="0.3">
      <c r="A19" s="42" t="s">
        <v>35</v>
      </c>
      <c r="B19" s="89" t="s">
        <v>63</v>
      </c>
      <c r="C19" s="89"/>
      <c r="D19" s="89"/>
      <c r="E19" s="89"/>
      <c r="F19" s="89"/>
      <c r="G19" s="16"/>
      <c r="H19" s="16" t="str">
        <f t="shared" si="6"/>
        <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row>
    <row r="20" spans="1:64" s="3" customFormat="1" ht="30" customHeight="1" thickBot="1" x14ac:dyDescent="0.3">
      <c r="A20" s="42"/>
      <c r="B20" s="99" t="s">
        <v>52</v>
      </c>
      <c r="C20" s="67"/>
      <c r="D20" s="68"/>
      <c r="E20" s="69">
        <f ca="1">F17+1</f>
        <v>45569</v>
      </c>
      <c r="F20" s="69">
        <f ca="1">E20+4</f>
        <v>45573</v>
      </c>
      <c r="G20" s="16"/>
      <c r="H20" s="16">
        <f t="shared" ca="1" si="6"/>
        <v>5</v>
      </c>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row>
    <row r="21" spans="1:64" s="3" customFormat="1" ht="30" customHeight="1" thickBot="1" x14ac:dyDescent="0.3">
      <c r="A21" s="42"/>
      <c r="B21" s="99" t="s">
        <v>53</v>
      </c>
      <c r="C21" s="67"/>
      <c r="D21" s="68"/>
      <c r="E21" s="69"/>
      <c r="F21" s="69"/>
      <c r="G21" s="16"/>
      <c r="H21" s="16"/>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row>
    <row r="22" spans="1:64" s="3" customFormat="1" ht="30" customHeight="1" thickBot="1" x14ac:dyDescent="0.3">
      <c r="A22" s="41"/>
      <c r="B22" s="111" t="s">
        <v>54</v>
      </c>
      <c r="C22" s="112"/>
      <c r="D22" s="18"/>
      <c r="E22" s="113">
        <f ca="1">F20+1</f>
        <v>45574</v>
      </c>
      <c r="F22" s="113">
        <f ca="1">E22+5</f>
        <v>45579</v>
      </c>
      <c r="G22" s="16"/>
      <c r="H22" s="16">
        <f t="shared" ca="1" si="6"/>
        <v>6</v>
      </c>
      <c r="I22" s="27"/>
      <c r="J22" s="27"/>
      <c r="K22" s="27"/>
      <c r="L22" s="27"/>
      <c r="M22" s="27"/>
      <c r="N22" s="27"/>
      <c r="O22" s="27"/>
      <c r="P22" s="27"/>
      <c r="Q22" s="27"/>
      <c r="R22" s="27"/>
      <c r="S22" s="27"/>
      <c r="T22" s="27"/>
      <c r="U22" s="28"/>
      <c r="V22" s="28"/>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row>
    <row r="23" spans="1:64" s="3" customFormat="1" ht="30" customHeight="1" thickBot="1" x14ac:dyDescent="0.3">
      <c r="A23" s="41"/>
      <c r="B23" s="111" t="s">
        <v>55</v>
      </c>
      <c r="C23" s="112"/>
      <c r="D23" s="18"/>
      <c r="E23" s="113"/>
      <c r="F23" s="113"/>
      <c r="G23" s="16"/>
      <c r="H23" s="16"/>
      <c r="I23" s="27"/>
      <c r="J23" s="27"/>
      <c r="K23" s="27"/>
      <c r="L23" s="27"/>
      <c r="M23" s="27"/>
      <c r="N23" s="27"/>
      <c r="O23" s="27"/>
      <c r="P23" s="27"/>
      <c r="Q23" s="27"/>
      <c r="R23" s="27"/>
      <c r="S23" s="27"/>
      <c r="T23" s="27"/>
      <c r="U23" s="28"/>
      <c r="V23" s="28"/>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row>
    <row r="24" spans="1:64" s="3" customFormat="1" ht="30" customHeight="1" thickBot="1" x14ac:dyDescent="0.3">
      <c r="A24" s="41"/>
      <c r="B24" s="111" t="s">
        <v>56</v>
      </c>
      <c r="C24" s="112"/>
      <c r="D24" s="18"/>
      <c r="E24" s="113">
        <f ca="1">F22</f>
        <v>45579</v>
      </c>
      <c r="F24" s="113">
        <f ca="1">E24+3</f>
        <v>45582</v>
      </c>
      <c r="G24" s="16"/>
      <c r="H24" s="16">
        <f t="shared" ca="1" si="6"/>
        <v>4</v>
      </c>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row>
    <row r="25" spans="1:64" s="3" customFormat="1" ht="30" customHeight="1" thickBot="1" x14ac:dyDescent="0.3">
      <c r="A25" s="41"/>
      <c r="B25" s="111" t="s">
        <v>57</v>
      </c>
      <c r="C25" s="112"/>
      <c r="D25" s="18"/>
      <c r="E25" s="113"/>
      <c r="F25" s="113"/>
      <c r="G25" s="16"/>
      <c r="H25" s="16"/>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row>
    <row r="26" spans="1:64" s="3" customFormat="1" ht="30" customHeight="1" thickBot="1" x14ac:dyDescent="0.3">
      <c r="A26" s="41"/>
      <c r="B26" s="111" t="s">
        <v>58</v>
      </c>
      <c r="C26" s="112"/>
      <c r="D26" s="18"/>
      <c r="E26" s="113">
        <f ca="1">F24</f>
        <v>45582</v>
      </c>
      <c r="F26" s="113">
        <f ca="1">E26+2</f>
        <v>45584</v>
      </c>
      <c r="G26" s="16"/>
      <c r="H26" s="16">
        <f t="shared" ca="1" si="6"/>
        <v>3</v>
      </c>
      <c r="I26" s="27"/>
      <c r="J26" s="27"/>
      <c r="K26" s="27"/>
      <c r="L26" s="27"/>
      <c r="M26" s="27"/>
      <c r="N26" s="27"/>
      <c r="O26" s="27"/>
      <c r="P26" s="27"/>
      <c r="Q26" s="27"/>
      <c r="R26" s="27"/>
      <c r="S26" s="27"/>
      <c r="T26" s="27"/>
      <c r="U26" s="27"/>
      <c r="V26" s="27"/>
      <c r="W26" s="27"/>
      <c r="X26" s="27"/>
      <c r="Y26" s="28"/>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row>
    <row r="27" spans="1:64" s="3" customFormat="1" ht="30" customHeight="1" thickBot="1" x14ac:dyDescent="0.3">
      <c r="A27" s="41"/>
      <c r="B27" s="111" t="s">
        <v>59</v>
      </c>
      <c r="C27" s="112"/>
      <c r="D27" s="71"/>
      <c r="E27" s="113"/>
      <c r="F27" s="113"/>
      <c r="G27" s="16"/>
      <c r="H27" s="16"/>
      <c r="I27" s="27"/>
      <c r="J27" s="27"/>
      <c r="K27" s="27"/>
      <c r="L27" s="27"/>
      <c r="M27" s="27"/>
      <c r="N27" s="27"/>
      <c r="O27" s="27"/>
      <c r="P27" s="27"/>
      <c r="Q27" s="27"/>
      <c r="R27" s="27"/>
      <c r="S27" s="27"/>
      <c r="T27" s="27"/>
      <c r="U27" s="27"/>
      <c r="V27" s="27"/>
      <c r="W27" s="27"/>
      <c r="X27" s="27"/>
      <c r="Y27" s="28"/>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row>
    <row r="28" spans="1:64" s="3" customFormat="1" ht="30" customHeight="1" thickBot="1" x14ac:dyDescent="0.3">
      <c r="A28" s="41"/>
      <c r="B28" s="52" t="s">
        <v>60</v>
      </c>
      <c r="C28" s="112"/>
      <c r="D28" s="112"/>
      <c r="E28" s="48">
        <f ca="1">F26</f>
        <v>45584</v>
      </c>
      <c r="F28" s="48">
        <f ca="1">E28+2</f>
        <v>45586</v>
      </c>
      <c r="G28" s="16"/>
      <c r="H28" s="16">
        <f t="shared" ca="1" si="6"/>
        <v>3</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row>
    <row r="29" spans="1:64" s="3" customFormat="1" ht="30" customHeight="1" thickBot="1" x14ac:dyDescent="0.3">
      <c r="A29" s="41"/>
      <c r="B29" s="100" t="s">
        <v>61</v>
      </c>
      <c r="C29" s="70"/>
      <c r="D29" s="70"/>
      <c r="E29" s="72"/>
      <c r="F29" s="72"/>
      <c r="G29" s="16"/>
      <c r="H29" s="16"/>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row>
    <row r="30" spans="1:64" s="3" customFormat="1" ht="30" customHeight="1" thickBot="1" x14ac:dyDescent="0.3">
      <c r="A30" s="41" t="s">
        <v>26</v>
      </c>
      <c r="B30" s="90" t="s">
        <v>64</v>
      </c>
      <c r="C30" s="90"/>
      <c r="D30" s="90"/>
      <c r="E30" s="90"/>
      <c r="F30" s="90"/>
      <c r="G30" s="16"/>
      <c r="H30" s="16" t="str">
        <f t="shared" si="6"/>
        <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row>
    <row r="31" spans="1:64" s="3" customFormat="1" ht="30" customHeight="1" thickBot="1" x14ac:dyDescent="0.3">
      <c r="A31" s="41"/>
      <c r="B31" s="101" t="s">
        <v>65</v>
      </c>
      <c r="C31" s="73"/>
      <c r="D31" s="74"/>
      <c r="E31" s="75">
        <f ca="1">F28</f>
        <v>45586</v>
      </c>
      <c r="F31" s="75">
        <f ca="1">E31+5</f>
        <v>45591</v>
      </c>
      <c r="G31" s="16"/>
      <c r="H31" s="16">
        <f t="shared" ca="1" si="6"/>
        <v>6</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row>
    <row r="32" spans="1:64" s="3" customFormat="1" ht="30" customHeight="1" thickBot="1" x14ac:dyDescent="0.3">
      <c r="A32" s="41"/>
      <c r="B32" s="101" t="s">
        <v>66</v>
      </c>
      <c r="C32" s="73"/>
      <c r="D32" s="74"/>
      <c r="E32" s="75"/>
      <c r="F32" s="75"/>
      <c r="G32" s="16"/>
      <c r="H32" s="16"/>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row>
    <row r="33" spans="1:64" s="3" customFormat="1" ht="30" customHeight="1" thickBot="1" x14ac:dyDescent="0.3">
      <c r="A33" s="41"/>
      <c r="B33" s="114" t="s">
        <v>67</v>
      </c>
      <c r="C33" s="115"/>
      <c r="D33" s="19"/>
      <c r="E33" s="116">
        <f ca="1">F31</f>
        <v>45591</v>
      </c>
      <c r="F33" s="116">
        <f ca="1">E33+4</f>
        <v>45595</v>
      </c>
      <c r="G33" s="16"/>
      <c r="H33" s="16">
        <f t="shared" ca="1" si="6"/>
        <v>5</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row>
    <row r="34" spans="1:64" s="3" customFormat="1" ht="30" customHeight="1" thickBot="1" x14ac:dyDescent="0.3">
      <c r="A34" s="41"/>
      <c r="B34" s="114" t="s">
        <v>68</v>
      </c>
      <c r="C34" s="115"/>
      <c r="D34" s="19"/>
      <c r="E34" s="116"/>
      <c r="F34" s="116"/>
      <c r="G34" s="16"/>
      <c r="H34" s="16"/>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row>
    <row r="35" spans="1:64" s="3" customFormat="1" ht="30" customHeight="1" thickBot="1" x14ac:dyDescent="0.3">
      <c r="A35" s="41"/>
      <c r="B35" s="53" t="s">
        <v>69</v>
      </c>
      <c r="C35" s="73"/>
      <c r="D35" s="74"/>
      <c r="E35" s="78">
        <f ca="1">E33+5</f>
        <v>45596</v>
      </c>
      <c r="F35" s="78">
        <f ca="1">E35+5</f>
        <v>45601</v>
      </c>
      <c r="G35" s="16"/>
      <c r="H35" s="16">
        <f t="shared" ca="1" si="6"/>
        <v>6</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row>
    <row r="36" spans="1:64" s="3" customFormat="1" ht="30" customHeight="1" thickBot="1" x14ac:dyDescent="0.3">
      <c r="A36" s="41"/>
      <c r="B36" s="102" t="s">
        <v>70</v>
      </c>
      <c r="C36" s="73"/>
      <c r="D36" s="74"/>
      <c r="E36" s="19"/>
      <c r="F36" s="19"/>
      <c r="G36" s="16"/>
      <c r="H36" s="16" t="str">
        <f t="shared" si="6"/>
        <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row>
    <row r="37" spans="1:64" s="3" customFormat="1" ht="30" customHeight="1" thickBot="1" x14ac:dyDescent="0.3">
      <c r="A37" s="41"/>
      <c r="B37" s="53" t="s">
        <v>71</v>
      </c>
      <c r="C37" s="115"/>
      <c r="D37" s="19"/>
      <c r="E37" s="103">
        <f ca="1">F35</f>
        <v>45601</v>
      </c>
      <c r="F37" s="103">
        <f ca="1">E37+7</f>
        <v>45608</v>
      </c>
      <c r="G37" s="16"/>
      <c r="H37" s="16">
        <f t="shared" ca="1" si="6"/>
        <v>8</v>
      </c>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row>
    <row r="38" spans="1:64" s="3" customFormat="1" ht="30" customHeight="1" thickBot="1" x14ac:dyDescent="0.3">
      <c r="A38" s="41"/>
      <c r="B38" s="102" t="s">
        <v>72</v>
      </c>
      <c r="C38" s="115"/>
      <c r="D38" s="19"/>
      <c r="E38" s="19"/>
      <c r="F38" s="19"/>
      <c r="G38" s="16"/>
      <c r="H38" s="16"/>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row>
    <row r="39" spans="1:64" s="3" customFormat="1" ht="30" customHeight="1" thickBot="1" x14ac:dyDescent="0.3">
      <c r="A39" s="41"/>
      <c r="B39" s="53" t="s">
        <v>73</v>
      </c>
      <c r="C39" s="115"/>
      <c r="D39" s="115"/>
      <c r="E39" s="103">
        <f ca="1">F37</f>
        <v>45608</v>
      </c>
      <c r="F39" s="103">
        <f ca="1">E39+3</f>
        <v>45611</v>
      </c>
      <c r="G39" s="16"/>
      <c r="H39" s="16"/>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row>
    <row r="40" spans="1:64" s="3" customFormat="1" ht="30" customHeight="1" thickBot="1" x14ac:dyDescent="0.3">
      <c r="A40" s="41"/>
      <c r="B40" s="76" t="s">
        <v>74</v>
      </c>
      <c r="C40" s="77"/>
      <c r="D40" s="77"/>
      <c r="E40" s="77"/>
      <c r="F40" s="77"/>
      <c r="G40" s="16"/>
      <c r="H40" s="16"/>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row>
    <row r="41" spans="1:64" s="3" customFormat="1" ht="30" customHeight="1" thickBot="1" x14ac:dyDescent="0.3">
      <c r="A41" s="41" t="s">
        <v>26</v>
      </c>
      <c r="B41" s="91" t="s">
        <v>75</v>
      </c>
      <c r="C41" s="91"/>
      <c r="D41" s="91"/>
      <c r="E41" s="91"/>
      <c r="F41" s="91"/>
      <c r="G41" s="16"/>
      <c r="H41" s="16" t="str">
        <f t="shared" si="6"/>
        <v/>
      </c>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row>
    <row r="42" spans="1:64" s="3" customFormat="1" ht="30" customHeight="1" thickBot="1" x14ac:dyDescent="0.3">
      <c r="A42" s="41"/>
      <c r="B42" s="104" t="s">
        <v>76</v>
      </c>
      <c r="C42" s="79"/>
      <c r="D42" s="80"/>
      <c r="E42" s="81">
        <f ca="1">F39</f>
        <v>45611</v>
      </c>
      <c r="F42" s="81">
        <f ca="1">E42+5</f>
        <v>45616</v>
      </c>
      <c r="G42" s="16"/>
      <c r="H42" s="16">
        <f t="shared" ca="1" si="6"/>
        <v>6</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row>
    <row r="43" spans="1:64" s="3" customFormat="1" ht="30" customHeight="1" thickBot="1" x14ac:dyDescent="0.3">
      <c r="A43" s="41"/>
      <c r="B43" s="104" t="s">
        <v>77</v>
      </c>
      <c r="C43" s="79"/>
      <c r="D43" s="80"/>
      <c r="E43" s="81"/>
      <c r="F43" s="81"/>
      <c r="G43" s="16"/>
      <c r="H43" s="16"/>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row>
    <row r="44" spans="1:64" s="3" customFormat="1" ht="30" customHeight="1" thickBot="1" x14ac:dyDescent="0.3">
      <c r="A44" s="41"/>
      <c r="B44" s="117" t="s">
        <v>78</v>
      </c>
      <c r="C44" s="118"/>
      <c r="D44" s="20"/>
      <c r="E44" s="119">
        <f ca="1">F42</f>
        <v>45616</v>
      </c>
      <c r="F44" s="119">
        <f ca="1">E44+4</f>
        <v>45620</v>
      </c>
      <c r="G44" s="16"/>
      <c r="H44" s="16">
        <f t="shared" ca="1" si="6"/>
        <v>5</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row>
    <row r="45" spans="1:64" s="3" customFormat="1" ht="30" customHeight="1" thickBot="1" x14ac:dyDescent="0.3">
      <c r="A45" s="41"/>
      <c r="B45" s="117" t="s">
        <v>82</v>
      </c>
      <c r="C45" s="118"/>
      <c r="D45" s="20"/>
      <c r="E45" s="119"/>
      <c r="F45" s="119"/>
      <c r="G45" s="16"/>
      <c r="H45" s="16"/>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row>
    <row r="46" spans="1:64" s="3" customFormat="1" ht="30" customHeight="1" thickBot="1" x14ac:dyDescent="0.3">
      <c r="A46" s="41"/>
      <c r="B46" s="117" t="s">
        <v>79</v>
      </c>
      <c r="C46" s="118"/>
      <c r="D46" s="20"/>
      <c r="E46" s="119">
        <f ca="1">F44</f>
        <v>45620</v>
      </c>
      <c r="F46" s="119">
        <f ca="1">E46+4</f>
        <v>45624</v>
      </c>
      <c r="G46" s="16"/>
      <c r="H46" s="16">
        <f t="shared" ca="1" si="6"/>
        <v>5</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row>
    <row r="47" spans="1:64" s="3" customFormat="1" ht="30" customHeight="1" thickBot="1" x14ac:dyDescent="0.3">
      <c r="A47" s="41"/>
      <c r="B47" s="117" t="s">
        <v>83</v>
      </c>
      <c r="C47" s="118"/>
      <c r="D47" s="20"/>
      <c r="E47" s="119"/>
      <c r="F47" s="119"/>
      <c r="G47" s="16"/>
      <c r="H47" s="16"/>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row>
    <row r="48" spans="1:64" s="3" customFormat="1" ht="30" customHeight="1" thickBot="1" x14ac:dyDescent="0.3">
      <c r="A48" s="41"/>
      <c r="B48" s="117" t="s">
        <v>80</v>
      </c>
      <c r="C48" s="118"/>
      <c r="D48" s="20"/>
      <c r="E48" s="119">
        <f ca="1">F46</f>
        <v>45624</v>
      </c>
      <c r="F48" s="119">
        <f ca="1">E48+6</f>
        <v>45630</v>
      </c>
      <c r="G48" s="16"/>
      <c r="H48" s="16">
        <f t="shared" ca="1" si="6"/>
        <v>7</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row>
    <row r="49" spans="1:64" s="3" customFormat="1" ht="30" customHeight="1" thickBot="1" x14ac:dyDescent="0.3">
      <c r="A49" s="41"/>
      <c r="B49" s="117" t="s">
        <v>84</v>
      </c>
      <c r="C49" s="118"/>
      <c r="D49" s="84"/>
      <c r="E49" s="119"/>
      <c r="F49" s="119"/>
      <c r="G49" s="16"/>
      <c r="H49" s="16"/>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s="3" customFormat="1" ht="30" customHeight="1" thickBot="1" x14ac:dyDescent="0.3">
      <c r="A50" s="41"/>
      <c r="B50" s="54" t="s">
        <v>81</v>
      </c>
      <c r="C50" s="50"/>
      <c r="D50" s="84"/>
      <c r="E50" s="119">
        <v>45630</v>
      </c>
      <c r="F50" s="119">
        <v>45634</v>
      </c>
      <c r="G50" s="16"/>
      <c r="H50" s="16">
        <f t="shared" si="6"/>
        <v>5</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row>
    <row r="51" spans="1:64" s="3" customFormat="1" ht="30" customHeight="1" thickBot="1" x14ac:dyDescent="0.3">
      <c r="A51" s="41"/>
      <c r="B51" s="82" t="s">
        <v>85</v>
      </c>
      <c r="C51" s="83"/>
      <c r="D51" s="84"/>
      <c r="E51" s="84"/>
      <c r="F51" s="84"/>
      <c r="G51" s="16"/>
      <c r="H51" s="16"/>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row>
    <row r="52" spans="1:64" s="3" customFormat="1" ht="30" customHeight="1" thickBot="1" x14ac:dyDescent="0.3">
      <c r="A52" s="41" t="s">
        <v>28</v>
      </c>
      <c r="B52" s="131" t="s">
        <v>86</v>
      </c>
      <c r="C52" s="131"/>
      <c r="D52" s="131"/>
      <c r="E52" s="131"/>
      <c r="F52" s="131"/>
      <c r="G52" s="16"/>
      <c r="H52" s="16" t="str">
        <f t="shared" si="6"/>
        <v/>
      </c>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row>
    <row r="53" spans="1:64" s="3" customFormat="1" ht="30" customHeight="1" thickBot="1" x14ac:dyDescent="0.3">
      <c r="A53" s="42" t="s">
        <v>27</v>
      </c>
      <c r="B53" s="107" t="s">
        <v>87</v>
      </c>
      <c r="C53" s="85"/>
      <c r="D53" s="86"/>
      <c r="E53" s="87">
        <f>F50</f>
        <v>45634</v>
      </c>
      <c r="F53" s="87">
        <f>E53+3</f>
        <v>45637</v>
      </c>
      <c r="G53" s="26"/>
      <c r="H53" s="26">
        <f t="shared" si="6"/>
        <v>4</v>
      </c>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row>
    <row r="54" spans="1:64" s="3" customFormat="1" ht="30" customHeight="1" thickBot="1" x14ac:dyDescent="0.3">
      <c r="A54" s="42"/>
      <c r="B54" s="107" t="s">
        <v>88</v>
      </c>
      <c r="C54" s="85"/>
      <c r="D54" s="86"/>
      <c r="E54" s="87"/>
      <c r="F54" s="87"/>
      <c r="G54" s="105"/>
      <c r="H54" s="105"/>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row>
    <row r="55" spans="1:64" ht="30" customHeight="1" thickBot="1" x14ac:dyDescent="0.3">
      <c r="B55" s="120" t="s">
        <v>89</v>
      </c>
      <c r="C55" s="121"/>
      <c r="D55" s="59"/>
      <c r="E55" s="122">
        <f>F53</f>
        <v>45637</v>
      </c>
      <c r="F55" s="122">
        <f>E55+3</f>
        <v>45640</v>
      </c>
      <c r="G55" s="6"/>
    </row>
    <row r="56" spans="1:64" ht="30" customHeight="1" thickBot="1" x14ac:dyDescent="0.3">
      <c r="B56" s="120" t="s">
        <v>93</v>
      </c>
      <c r="C56" s="121"/>
      <c r="D56" s="59"/>
      <c r="E56" s="122"/>
      <c r="F56" s="122"/>
      <c r="G56" s="6"/>
    </row>
    <row r="57" spans="1:64" ht="30" customHeight="1" thickBot="1" x14ac:dyDescent="0.3">
      <c r="B57" s="120" t="s">
        <v>90</v>
      </c>
      <c r="C57" s="121"/>
      <c r="D57" s="59"/>
      <c r="E57" s="122">
        <f>F55</f>
        <v>45640</v>
      </c>
      <c r="F57" s="122">
        <f>E57+2</f>
        <v>45642</v>
      </c>
    </row>
    <row r="58" spans="1:64" ht="30" customHeight="1" thickBot="1" x14ac:dyDescent="0.3">
      <c r="B58" s="120" t="s">
        <v>94</v>
      </c>
      <c r="C58" s="121"/>
      <c r="D58" s="59"/>
      <c r="E58" s="122"/>
      <c r="F58" s="122"/>
    </row>
    <row r="59" spans="1:64" ht="30" customHeight="1" thickBot="1" x14ac:dyDescent="0.3">
      <c r="B59" s="120" t="s">
        <v>91</v>
      </c>
      <c r="C59" s="121"/>
      <c r="D59" s="59"/>
      <c r="E59" s="122">
        <f>F57</f>
        <v>45642</v>
      </c>
      <c r="F59" s="122">
        <f>E59+15</f>
        <v>45657</v>
      </c>
    </row>
    <row r="60" spans="1:64" ht="30" customHeight="1" thickBot="1" x14ac:dyDescent="0.3">
      <c r="B60" s="120" t="s">
        <v>95</v>
      </c>
      <c r="C60" s="121"/>
      <c r="D60" s="59"/>
      <c r="E60" s="122"/>
      <c r="F60" s="122"/>
    </row>
    <row r="61" spans="1:64" ht="30" customHeight="1" thickBot="1" x14ac:dyDescent="0.3">
      <c r="B61" s="120" t="s">
        <v>92</v>
      </c>
      <c r="C61" s="121"/>
      <c r="D61" s="59"/>
      <c r="E61" s="122">
        <f>F59</f>
        <v>45657</v>
      </c>
      <c r="F61" s="122">
        <f>E61+4</f>
        <v>45661</v>
      </c>
    </row>
    <row r="62" spans="1:64" ht="30" customHeight="1" x14ac:dyDescent="0.25">
      <c r="B62" s="127" t="s">
        <v>96</v>
      </c>
      <c r="C62" s="128"/>
      <c r="D62" s="129"/>
      <c r="E62" s="130"/>
      <c r="F62" s="130"/>
    </row>
    <row r="63" spans="1:64" ht="30" customHeight="1" thickBot="1" x14ac:dyDescent="0.3">
      <c r="B63" s="123"/>
      <c r="C63" s="124"/>
      <c r="D63" s="125"/>
      <c r="E63" s="126"/>
      <c r="F63" s="126"/>
    </row>
    <row r="64" spans="1:64" ht="30" customHeight="1" thickBot="1" x14ac:dyDescent="0.3">
      <c r="B64" s="21" t="s">
        <v>0</v>
      </c>
      <c r="C64" s="22"/>
      <c r="D64" s="23"/>
      <c r="E64" s="24"/>
      <c r="F64" s="25"/>
    </row>
    <row r="66" spans="3:6" customFormat="1" ht="30" customHeight="1" x14ac:dyDescent="0.25">
      <c r="C66" s="14"/>
      <c r="E66" s="5"/>
      <c r="F66" s="43"/>
    </row>
    <row r="67" spans="3:6" customFormat="1" ht="30" customHeight="1" x14ac:dyDescent="0.25">
      <c r="C67" s="15"/>
      <c r="E67" s="5"/>
    </row>
  </sheetData>
  <mergeCells count="16">
    <mergeCell ref="BF4:BL4"/>
    <mergeCell ref="E3:F3"/>
    <mergeCell ref="I4:O4"/>
    <mergeCell ref="P4:V4"/>
    <mergeCell ref="W4:AC4"/>
    <mergeCell ref="AD4:AJ4"/>
    <mergeCell ref="C3:D3"/>
    <mergeCell ref="C4:D4"/>
    <mergeCell ref="AK4:AQ4"/>
    <mergeCell ref="AR4:AX4"/>
    <mergeCell ref="AY4:BE4"/>
    <mergeCell ref="B52:F52"/>
    <mergeCell ref="B8:F8"/>
    <mergeCell ref="B19:F19"/>
    <mergeCell ref="B30:F30"/>
    <mergeCell ref="B41:F41"/>
  </mergeCells>
  <conditionalFormatting sqref="D53:D64 D7 D20:D27 D31:D34 D9:D18 D42:D51">
    <cfRule type="dataBar" priority="2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54">
    <cfRule type="expression" dxfId="2" priority="44">
      <formula>AND(TODAY()&gt;=I$5,TODAY()&lt;J$5)</formula>
    </cfRule>
  </conditionalFormatting>
  <conditionalFormatting sqref="I7:BL54">
    <cfRule type="expression" dxfId="1" priority="38">
      <formula>AND(task_start&lt;=I$5,ROUNDDOWN((task_end-task_start+1)*task_progress,0)+task_start-1&gt;=I$5)</formula>
    </cfRule>
    <cfRule type="expression" dxfId="0" priority="39" stopIfTrue="1">
      <formula>AND(task_end&gt;=I$5,task_start&lt;J$5)</formula>
    </cfRule>
  </conditionalFormatting>
  <conditionalFormatting sqref="D35:D38">
    <cfRule type="dataBar" priority="11">
      <dataBar>
        <cfvo type="num" val="0"/>
        <cfvo type="num" val="1"/>
        <color theme="0" tint="-0.249977111117893"/>
      </dataBar>
      <extLst>
        <ext xmlns:x14="http://schemas.microsoft.com/office/spreadsheetml/2009/9/main" uri="{B025F937-C7B1-47D3-B67F-A62EFF666E3E}">
          <x14:id>{0B724A04-040F-42F2-9CBF-12BAC3A357C1}</x14:id>
        </ext>
      </extLst>
    </cfRule>
  </conditionalFormatting>
  <conditionalFormatting sqref="E18">
    <cfRule type="dataBar" priority="10">
      <dataBar>
        <cfvo type="num" val="0"/>
        <cfvo type="num" val="1"/>
        <color theme="0" tint="-0.249977111117893"/>
      </dataBar>
      <extLst>
        <ext xmlns:x14="http://schemas.microsoft.com/office/spreadsheetml/2009/9/main" uri="{B025F937-C7B1-47D3-B67F-A62EFF666E3E}">
          <x14:id>{5475D3AD-D669-4AC9-9B7E-44EDBE6D731C}</x14:id>
        </ext>
      </extLst>
    </cfRule>
  </conditionalFormatting>
  <conditionalFormatting sqref="F18">
    <cfRule type="dataBar" priority="9">
      <dataBar>
        <cfvo type="num" val="0"/>
        <cfvo type="num" val="1"/>
        <color theme="0" tint="-0.249977111117893"/>
      </dataBar>
      <extLst>
        <ext xmlns:x14="http://schemas.microsoft.com/office/spreadsheetml/2009/9/main" uri="{B025F937-C7B1-47D3-B67F-A62EFF666E3E}">
          <x14:id>{819F126A-6E9B-42F9-A7D0-D8545F499F67}</x14:id>
        </ext>
      </extLst>
    </cfRule>
  </conditionalFormatting>
  <conditionalFormatting sqref="F38">
    <cfRule type="dataBar" priority="8">
      <dataBar>
        <cfvo type="num" val="0"/>
        <cfvo type="num" val="1"/>
        <color theme="0" tint="-0.249977111117893"/>
      </dataBar>
      <extLst>
        <ext xmlns:x14="http://schemas.microsoft.com/office/spreadsheetml/2009/9/main" uri="{B025F937-C7B1-47D3-B67F-A62EFF666E3E}">
          <x14:id>{60808974-CD55-4B36-9DCF-B550F218A5C6}</x14:id>
        </ext>
      </extLst>
    </cfRule>
  </conditionalFormatting>
  <conditionalFormatting sqref="E38">
    <cfRule type="dataBar" priority="7">
      <dataBar>
        <cfvo type="num" val="0"/>
        <cfvo type="num" val="1"/>
        <color theme="0" tint="-0.249977111117893"/>
      </dataBar>
      <extLst>
        <ext xmlns:x14="http://schemas.microsoft.com/office/spreadsheetml/2009/9/main" uri="{B025F937-C7B1-47D3-B67F-A62EFF666E3E}">
          <x14:id>{680AF19A-740A-43BB-9A86-D9B665E1C98E}</x14:id>
        </ext>
      </extLst>
    </cfRule>
  </conditionalFormatting>
  <conditionalFormatting sqref="E36">
    <cfRule type="dataBar" priority="6">
      <dataBar>
        <cfvo type="num" val="0"/>
        <cfvo type="num" val="1"/>
        <color theme="0" tint="-0.249977111117893"/>
      </dataBar>
      <extLst>
        <ext xmlns:x14="http://schemas.microsoft.com/office/spreadsheetml/2009/9/main" uri="{B025F937-C7B1-47D3-B67F-A62EFF666E3E}">
          <x14:id>{370F913B-65A9-4D02-9330-CAB1D866E32D}</x14:id>
        </ext>
      </extLst>
    </cfRule>
  </conditionalFormatting>
  <conditionalFormatting sqref="F36">
    <cfRule type="dataBar" priority="5">
      <dataBar>
        <cfvo type="num" val="0"/>
        <cfvo type="num" val="1"/>
        <color theme="0" tint="-0.249977111117893"/>
      </dataBar>
      <extLst>
        <ext xmlns:x14="http://schemas.microsoft.com/office/spreadsheetml/2009/9/main" uri="{B025F937-C7B1-47D3-B67F-A62EFF666E3E}">
          <x14:id>{A21C275F-A615-40CA-B5B1-0A57FB776A48}</x14:id>
        </ext>
      </extLst>
    </cfRule>
  </conditionalFormatting>
  <conditionalFormatting sqref="E51">
    <cfRule type="dataBar" priority="3">
      <dataBar>
        <cfvo type="num" val="0"/>
        <cfvo type="num" val="1"/>
        <color theme="0" tint="-0.249977111117893"/>
      </dataBar>
      <extLst>
        <ext xmlns:x14="http://schemas.microsoft.com/office/spreadsheetml/2009/9/main" uri="{B025F937-C7B1-47D3-B67F-A62EFF666E3E}">
          <x14:id>{58BF7044-F661-41CE-91C7-051FE1DE40FA}</x14:id>
        </ext>
      </extLst>
    </cfRule>
  </conditionalFormatting>
  <conditionalFormatting sqref="F51">
    <cfRule type="dataBar" priority="2">
      <dataBar>
        <cfvo type="num" val="0"/>
        <cfvo type="num" val="1"/>
        <color theme="0" tint="-0.249977111117893"/>
      </dataBar>
      <extLst>
        <ext xmlns:x14="http://schemas.microsoft.com/office/spreadsheetml/2009/9/main" uri="{B025F937-C7B1-47D3-B67F-A62EFF666E3E}">
          <x14:id>{34395C42-30B3-48C6-AAE3-91BCFB78D207}</x14:id>
        </ext>
      </extLst>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26 E35:F35 F3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D53:D64 D7 D20:D27 D31:D34 D9:D18 D42:D51</xm:sqref>
        </x14:conditionalFormatting>
        <x14:conditionalFormatting xmlns:xm="http://schemas.microsoft.com/office/excel/2006/main">
          <x14:cfRule type="dataBar" id="{0B724A04-040F-42F2-9CBF-12BAC3A357C1}">
            <x14:dataBar minLength="0" maxLength="100" gradient="0">
              <x14:cfvo type="num">
                <xm:f>0</xm:f>
              </x14:cfvo>
              <x14:cfvo type="num">
                <xm:f>1</xm:f>
              </x14:cfvo>
              <x14:negativeFillColor rgb="FFFF0000"/>
              <x14:axisColor rgb="FF000000"/>
            </x14:dataBar>
          </x14:cfRule>
          <xm:sqref>D35:D38</xm:sqref>
        </x14:conditionalFormatting>
        <x14:conditionalFormatting xmlns:xm="http://schemas.microsoft.com/office/excel/2006/main">
          <x14:cfRule type="dataBar" id="{5475D3AD-D669-4AC9-9B7E-44EDBE6D731C}">
            <x14:dataBar minLength="0" maxLength="100" gradient="0">
              <x14:cfvo type="num">
                <xm:f>0</xm:f>
              </x14:cfvo>
              <x14:cfvo type="num">
                <xm:f>1</xm:f>
              </x14:cfvo>
              <x14:negativeFillColor rgb="FFFF0000"/>
              <x14:axisColor rgb="FF000000"/>
            </x14:dataBar>
          </x14:cfRule>
          <xm:sqref>E18</xm:sqref>
        </x14:conditionalFormatting>
        <x14:conditionalFormatting xmlns:xm="http://schemas.microsoft.com/office/excel/2006/main">
          <x14:cfRule type="dataBar" id="{819F126A-6E9B-42F9-A7D0-D8545F499F67}">
            <x14:dataBar minLength="0" maxLength="100" gradient="0">
              <x14:cfvo type="num">
                <xm:f>0</xm:f>
              </x14:cfvo>
              <x14:cfvo type="num">
                <xm:f>1</xm:f>
              </x14:cfvo>
              <x14:negativeFillColor rgb="FFFF0000"/>
              <x14:axisColor rgb="FF000000"/>
            </x14:dataBar>
          </x14:cfRule>
          <xm:sqref>F18</xm:sqref>
        </x14:conditionalFormatting>
        <x14:conditionalFormatting xmlns:xm="http://schemas.microsoft.com/office/excel/2006/main">
          <x14:cfRule type="dataBar" id="{60808974-CD55-4B36-9DCF-B550F218A5C6}">
            <x14:dataBar minLength="0" maxLength="100" gradient="0">
              <x14:cfvo type="num">
                <xm:f>0</xm:f>
              </x14:cfvo>
              <x14:cfvo type="num">
                <xm:f>1</xm:f>
              </x14:cfvo>
              <x14:negativeFillColor rgb="FFFF0000"/>
              <x14:axisColor rgb="FF000000"/>
            </x14:dataBar>
          </x14:cfRule>
          <xm:sqref>F38</xm:sqref>
        </x14:conditionalFormatting>
        <x14:conditionalFormatting xmlns:xm="http://schemas.microsoft.com/office/excel/2006/main">
          <x14:cfRule type="dataBar" id="{680AF19A-740A-43BB-9A86-D9B665E1C98E}">
            <x14:dataBar minLength="0" maxLength="100" gradient="0">
              <x14:cfvo type="num">
                <xm:f>0</xm:f>
              </x14:cfvo>
              <x14:cfvo type="num">
                <xm:f>1</xm:f>
              </x14:cfvo>
              <x14:negativeFillColor rgb="FFFF0000"/>
              <x14:axisColor rgb="FF000000"/>
            </x14:dataBar>
          </x14:cfRule>
          <xm:sqref>E38</xm:sqref>
        </x14:conditionalFormatting>
        <x14:conditionalFormatting xmlns:xm="http://schemas.microsoft.com/office/excel/2006/main">
          <x14:cfRule type="dataBar" id="{370F913B-65A9-4D02-9330-CAB1D866E32D}">
            <x14:dataBar minLength="0" maxLength="100" gradient="0">
              <x14:cfvo type="num">
                <xm:f>0</xm:f>
              </x14:cfvo>
              <x14:cfvo type="num">
                <xm:f>1</xm:f>
              </x14:cfvo>
              <x14:negativeFillColor rgb="FFFF0000"/>
              <x14:axisColor rgb="FF000000"/>
            </x14:dataBar>
          </x14:cfRule>
          <xm:sqref>E36</xm:sqref>
        </x14:conditionalFormatting>
        <x14:conditionalFormatting xmlns:xm="http://schemas.microsoft.com/office/excel/2006/main">
          <x14:cfRule type="dataBar" id="{A21C275F-A615-40CA-B5B1-0A57FB776A48}">
            <x14:dataBar minLength="0" maxLength="100" gradient="0">
              <x14:cfvo type="num">
                <xm:f>0</xm:f>
              </x14:cfvo>
              <x14:cfvo type="num">
                <xm:f>1</xm:f>
              </x14:cfvo>
              <x14:negativeFillColor rgb="FFFF0000"/>
              <x14:axisColor rgb="FF000000"/>
            </x14:dataBar>
          </x14:cfRule>
          <xm:sqref>F36</xm:sqref>
        </x14:conditionalFormatting>
        <x14:conditionalFormatting xmlns:xm="http://schemas.microsoft.com/office/excel/2006/main">
          <x14:cfRule type="dataBar" id="{58BF7044-F661-41CE-91C7-051FE1DE40FA}">
            <x14:dataBar minLength="0" maxLength="100" gradient="0">
              <x14:cfvo type="num">
                <xm:f>0</xm:f>
              </x14:cfvo>
              <x14:cfvo type="num">
                <xm:f>1</xm:f>
              </x14:cfvo>
              <x14:negativeFillColor rgb="FFFF0000"/>
              <x14:axisColor rgb="FF000000"/>
            </x14:dataBar>
          </x14:cfRule>
          <xm:sqref>E51</xm:sqref>
        </x14:conditionalFormatting>
        <x14:conditionalFormatting xmlns:xm="http://schemas.microsoft.com/office/excel/2006/main">
          <x14:cfRule type="dataBar" id="{34395C42-30B3-48C6-AAE3-91BCFB78D207}">
            <x14:dataBar minLength="0" maxLength="100" gradient="0">
              <x14:cfvo type="num">
                <xm:f>0</xm:f>
              </x14:cfvo>
              <x14:cfvo type="num">
                <xm:f>1</xm:f>
              </x14:cfvo>
              <x14:negativeFillColor rgb="FFFF0000"/>
              <x14:axisColor rgb="FF000000"/>
            </x14:dataBar>
          </x14:cfRule>
          <xm:sqref>F51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1" customWidth="1"/>
    <col min="2" max="16384" width="9.140625" style="2"/>
  </cols>
  <sheetData>
    <row r="1" spans="1:2" ht="46.5" customHeight="1" x14ac:dyDescent="0.2"/>
    <row r="2" spans="1:2" s="33" customFormat="1" ht="15.75" x14ac:dyDescent="0.25">
      <c r="A2" s="32" t="s">
        <v>12</v>
      </c>
      <c r="B2" s="32"/>
    </row>
    <row r="3" spans="1:2" s="37" customFormat="1" ht="27" customHeight="1" x14ac:dyDescent="0.25">
      <c r="A3" s="58" t="s">
        <v>17</v>
      </c>
      <c r="B3" s="38"/>
    </row>
    <row r="4" spans="1:2" s="34" customFormat="1" ht="26.25" x14ac:dyDescent="0.4">
      <c r="A4" s="35" t="s">
        <v>11</v>
      </c>
    </row>
    <row r="5" spans="1:2" ht="74.099999999999994" customHeight="1" x14ac:dyDescent="0.2">
      <c r="A5" s="36" t="s">
        <v>20</v>
      </c>
    </row>
    <row r="6" spans="1:2" ht="26.25" customHeight="1" x14ac:dyDescent="0.2">
      <c r="A6" s="35" t="s">
        <v>23</v>
      </c>
    </row>
    <row r="7" spans="1:2" s="31" customFormat="1" ht="204.95" customHeight="1" x14ac:dyDescent="0.25">
      <c r="A7" s="40" t="s">
        <v>22</v>
      </c>
    </row>
    <row r="8" spans="1:2" s="34" customFormat="1" ht="26.25" x14ac:dyDescent="0.4">
      <c r="A8" s="35" t="s">
        <v>13</v>
      </c>
    </row>
    <row r="9" spans="1:2" ht="60" x14ac:dyDescent="0.2">
      <c r="A9" s="36" t="s">
        <v>21</v>
      </c>
    </row>
    <row r="10" spans="1:2" s="31" customFormat="1" ht="27.95" customHeight="1" x14ac:dyDescent="0.25">
      <c r="A10" s="39" t="s">
        <v>19</v>
      </c>
    </row>
    <row r="11" spans="1:2" s="34" customFormat="1" ht="26.25" x14ac:dyDescent="0.4">
      <c r="A11" s="35" t="s">
        <v>10</v>
      </c>
    </row>
    <row r="12" spans="1:2" ht="30" x14ac:dyDescent="0.2">
      <c r="A12" s="36" t="s">
        <v>18</v>
      </c>
    </row>
    <row r="13" spans="1:2" s="31" customFormat="1" ht="27.95" customHeight="1" x14ac:dyDescent="0.25">
      <c r="A13" s="39" t="s">
        <v>4</v>
      </c>
    </row>
    <row r="14" spans="1:2" s="34" customFormat="1" ht="26.25" x14ac:dyDescent="0.4">
      <c r="A14" s="35" t="s">
        <v>14</v>
      </c>
    </row>
    <row r="15" spans="1:2" ht="75" customHeight="1" x14ac:dyDescent="0.2">
      <c r="A15" s="36" t="s">
        <v>15</v>
      </c>
    </row>
    <row r="16" spans="1:2" ht="75" x14ac:dyDescent="0.2">
      <c r="A16" s="36"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2024-09-19T03:08:48Z</dcterms:modified>
</cp:coreProperties>
</file>