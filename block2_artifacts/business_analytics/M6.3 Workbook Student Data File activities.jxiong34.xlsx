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filterPrivacy="1" defaultThemeVersion="166925"/>
  <xr:revisionPtr revIDLastSave="0" documentId="8_{098E6F74-27E0-4529-950B-8CB8A9F917FA}" xr6:coauthVersionLast="47" xr6:coauthVersionMax="47" xr10:uidLastSave="{00000000-0000-0000-0000-000000000000}"/>
  <bookViews>
    <workbookView xWindow="-120" yWindow="-120" windowWidth="29040" windowHeight="15840" tabRatio="894" xr2:uid="{EC0B32EB-CE85-47BC-ADC0-8ED3F39548FF}"/>
  </bookViews>
  <sheets>
    <sheet name="Soft Drinks Data" sheetId="3" r:id="rId1"/>
    <sheet name="Age at Death" sheetId="2" r:id="rId2"/>
    <sheet name="Home Sales Data" sheetId="4" r:id="rId3"/>
    <sheet name="VLOOKUP1" sheetId="5" r:id="rId4"/>
    <sheet name="VLOOKUP2" sheetId="6" r:id="rId5"/>
    <sheet name="IF Bonus Calculation" sheetId="7" r:id="rId6"/>
    <sheet name="COUNTIF SUMIF" sheetId="8" r:id="rId7"/>
    <sheet name="Commission Calculation " sheetId="9" r:id="rId8"/>
    <sheet name="Payroll Increases" sheetId="10" r:id="rId9"/>
    <sheet name="EX A" sheetId="11" r:id="rId10"/>
    <sheet name="EX B" sheetId="12" r:id="rId11"/>
  </sheets>
  <definedNames>
    <definedName name="_xlchart.v1.0" hidden="1">'Age at Death'!$A$1</definedName>
    <definedName name="_xlchart.v1.1" hidden="1">'Age at Death'!$A$2:$A$701</definedName>
    <definedName name="_xlchart.v1.2" hidden="1">'Age at Death'!$A$1</definedName>
    <definedName name="_xlchart.v1.3" hidden="1">'Age at Death'!$A$2:$A$701</definedName>
    <definedName name="CostOfInventory">'COUNTIF SUMIF'!$E$6:$E$35</definedName>
    <definedName name="lookup">VLOOKUP1!$A$23:$B$27</definedName>
    <definedName name="_xlnm.Print_Area" localSheetId="9">'EX A'!$A$1:$E$16</definedName>
    <definedName name="_xlnm.Print_Area" localSheetId="10">'EX B'!$A$1:$I$19</definedName>
    <definedName name="_xlnm.Print_Area" localSheetId="2">'Home Sales Data'!$A$1:$E$13</definedName>
    <definedName name="_xlnm.Print_Area" localSheetId="0">'Soft Drinks Data'!$A$1:$H$29</definedName>
    <definedName name="Suppliers">'COUNTIF SUMIF'!$B$6:$B$35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7" i="12" l="1"/>
  <c r="H8" i="12"/>
  <c r="H9" i="12"/>
  <c r="H10" i="12"/>
  <c r="H11" i="12"/>
  <c r="H12" i="12"/>
  <c r="H13" i="12"/>
  <c r="H6" i="12"/>
  <c r="E6" i="12"/>
  <c r="F6" i="12"/>
  <c r="G11" i="12"/>
  <c r="G12" i="12"/>
  <c r="G13" i="12"/>
  <c r="G7" i="12"/>
  <c r="G8" i="12"/>
  <c r="G9" i="12"/>
  <c r="G10" i="12"/>
  <c r="G6" i="12"/>
  <c r="F7" i="12"/>
  <c r="F8" i="12"/>
  <c r="F9" i="12"/>
  <c r="F10" i="12"/>
  <c r="F11" i="12"/>
  <c r="F12" i="12"/>
  <c r="F13" i="12"/>
  <c r="E7" i="12"/>
  <c r="E8" i="12"/>
  <c r="E9" i="12"/>
  <c r="E10" i="12"/>
  <c r="E11" i="12"/>
  <c r="E12" i="12"/>
  <c r="E13" i="12"/>
  <c r="D13" i="12"/>
  <c r="D12" i="12"/>
  <c r="D11" i="12"/>
  <c r="D10" i="12"/>
  <c r="D9" i="12"/>
  <c r="D8" i="12"/>
  <c r="D7" i="12"/>
  <c r="D6" i="12"/>
  <c r="D10" i="11"/>
  <c r="D9" i="11"/>
  <c r="D8" i="11"/>
  <c r="D7" i="11"/>
  <c r="C7" i="11"/>
  <c r="C8" i="11"/>
  <c r="C9" i="11"/>
  <c r="C10" i="11"/>
  <c r="C6" i="11"/>
  <c r="D6" i="11" s="1"/>
  <c r="D14" i="10"/>
  <c r="D13" i="10"/>
  <c r="D12" i="10"/>
  <c r="D11" i="10"/>
  <c r="D10" i="10"/>
  <c r="D9" i="10"/>
  <c r="D8" i="10"/>
  <c r="D7" i="10"/>
  <c r="C9" i="9"/>
  <c r="C10" i="9"/>
  <c r="C11" i="9"/>
  <c r="C12" i="9"/>
  <c r="C13" i="9"/>
  <c r="C14" i="9"/>
  <c r="C15" i="9"/>
  <c r="C8" i="9"/>
  <c r="C40" i="8"/>
  <c r="C41" i="8"/>
  <c r="C42" i="8"/>
  <c r="C39" i="8"/>
  <c r="B40" i="8"/>
  <c r="B41" i="8"/>
  <c r="B42" i="8"/>
  <c r="B39" i="8"/>
  <c r="C11" i="7"/>
  <c r="C12" i="7"/>
  <c r="C13" i="7"/>
  <c r="C14" i="7"/>
  <c r="C15" i="7"/>
  <c r="C16" i="7"/>
  <c r="C17" i="7"/>
  <c r="C10" i="7"/>
  <c r="C17" i="6"/>
  <c r="G6" i="5"/>
  <c r="G7" i="5"/>
  <c r="G8" i="5"/>
  <c r="G9" i="5"/>
  <c r="G10" i="5"/>
  <c r="G11" i="5"/>
  <c r="G12" i="5"/>
  <c r="G13" i="5"/>
  <c r="G14" i="5"/>
  <c r="G15" i="5"/>
  <c r="G16" i="5"/>
  <c r="G17" i="5"/>
  <c r="G18" i="5"/>
  <c r="G19" i="5"/>
  <c r="G5" i="5"/>
  <c r="E10" i="4"/>
  <c r="E9" i="4"/>
  <c r="E8" i="4"/>
  <c r="E7" i="4"/>
  <c r="E4" i="4" a="1"/>
  <c r="E4" i="4" s="1"/>
  <c r="E3" i="4"/>
  <c r="E2" i="4"/>
  <c r="H3" i="2"/>
  <c r="H4" i="2"/>
  <c r="H5" i="2"/>
  <c r="H6" i="2"/>
  <c r="H7" i="2"/>
  <c r="H8" i="2"/>
  <c r="H9" i="2"/>
  <c r="H10" i="2"/>
  <c r="H11" i="2"/>
  <c r="H12" i="2"/>
  <c r="H13" i="2"/>
  <c r="H14" i="2"/>
  <c r="H15" i="2"/>
  <c r="H16" i="2"/>
  <c r="H17" i="2"/>
  <c r="H2" i="2"/>
  <c r="G2" i="2"/>
  <c r="G3" i="2"/>
  <c r="G4" i="2"/>
  <c r="G5" i="2"/>
  <c r="G6" i="2"/>
  <c r="G7" i="2"/>
  <c r="G8" i="2"/>
  <c r="G9" i="2"/>
  <c r="G10" i="2"/>
  <c r="G11" i="2"/>
  <c r="G12" i="2"/>
  <c r="G13" i="2"/>
  <c r="G14" i="2"/>
  <c r="G15" i="2"/>
  <c r="G16" i="2"/>
  <c r="G17" i="2"/>
  <c r="F2" i="2"/>
  <c r="F3" i="2"/>
  <c r="F4" i="2"/>
  <c r="F5" i="2"/>
  <c r="F6" i="2"/>
  <c r="F7" i="2"/>
  <c r="F8" i="2"/>
  <c r="F9" i="2"/>
  <c r="F10" i="2"/>
  <c r="F11" i="2"/>
  <c r="F12" i="2"/>
  <c r="F13" i="2"/>
  <c r="F14" i="2"/>
  <c r="F15" i="2"/>
  <c r="F16" i="2"/>
  <c r="F17" i="2"/>
  <c r="E19" i="2"/>
  <c r="E2" i="2" a="1"/>
  <c r="E2" i="2" s="1"/>
  <c r="G10" i="3"/>
  <c r="G6" i="3"/>
  <c r="G7" i="3"/>
  <c r="G8" i="3"/>
  <c r="G9" i="3"/>
  <c r="G5" i="3"/>
  <c r="F10" i="3"/>
  <c r="F5" i="3"/>
  <c r="F6" i="3"/>
  <c r="F7" i="3"/>
  <c r="F8" i="3"/>
  <c r="F9" i="3"/>
  <c r="E10" i="3"/>
  <c r="E5" i="3"/>
  <c r="E6" i="3"/>
  <c r="E7" i="3"/>
  <c r="E8" i="3"/>
  <c r="E9" i="3"/>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6" i="8"/>
  <c r="C16" i="9"/>
  <c r="B16" i="9"/>
  <c r="B18" i="7"/>
  <c r="E19" i="5"/>
  <c r="E18" i="5"/>
  <c r="E17" i="5"/>
  <c r="E16" i="5"/>
  <c r="E15" i="5"/>
  <c r="E14" i="5"/>
  <c r="E13" i="5"/>
  <c r="E12" i="5"/>
  <c r="E11" i="5"/>
  <c r="E10" i="5"/>
  <c r="E9" i="5"/>
  <c r="E8" i="5"/>
  <c r="E7" i="5"/>
  <c r="E6" i="5"/>
  <c r="E5"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<sst xmlns="http://schemas.openxmlformats.org/spreadsheetml/2006/main" count="339" uniqueCount="196">
  <si>
    <t>Frequency</t>
  </si>
  <si>
    <t>Bin Lower Limit</t>
  </si>
  <si>
    <t>Bin Upper Limit</t>
  </si>
  <si>
    <t>Labels</t>
  </si>
  <si>
    <t>Age at Death (years)</t>
  </si>
  <si>
    <t>Relative Frequency</t>
  </si>
  <si>
    <t>Percent Frequency</t>
  </si>
  <si>
    <t>Student Name</t>
  </si>
  <si>
    <t>Sample Data</t>
  </si>
  <si>
    <t>Bins/Classes</t>
  </si>
  <si>
    <t>Coca-Cola</t>
  </si>
  <si>
    <t>Diet Coke</t>
  </si>
  <si>
    <t>Sprite</t>
  </si>
  <si>
    <t>Pepsi</t>
  </si>
  <si>
    <t>Dr. Pepper</t>
  </si>
  <si>
    <t>Total</t>
  </si>
  <si>
    <t>Home Sale</t>
  </si>
  <si>
    <t>Selling Price ($)</t>
  </si>
  <si>
    <t>Criteria:</t>
  </si>
  <si>
    <t>Activity Name</t>
  </si>
  <si>
    <t>Student ID</t>
  </si>
  <si>
    <t>Exam 1</t>
  </si>
  <si>
    <t>Exam 2</t>
  </si>
  <si>
    <t>Final</t>
  </si>
  <si>
    <t>Overall</t>
  </si>
  <si>
    <t>Final Grade</t>
  </si>
  <si>
    <t>Grading Rubric</t>
  </si>
  <si>
    <t>Criteria</t>
  </si>
  <si>
    <t>Ratings</t>
  </si>
  <si>
    <t>1. You complete the demonstration activity using the correct named range</t>
  </si>
  <si>
    <t>3-2</t>
  </si>
  <si>
    <t>1-0</t>
  </si>
  <si>
    <t>2. You use appropriate VLOOKUP function</t>
  </si>
  <si>
    <t>met (5-2 pts)</t>
  </si>
  <si>
    <t>not met</t>
  </si>
  <si>
    <t>Totals</t>
  </si>
  <si>
    <t>Final Score</t>
  </si>
  <si>
    <t>/10</t>
  </si>
  <si>
    <t>Instructions:</t>
  </si>
  <si>
    <t>Score</t>
  </si>
  <si>
    <t>Grade</t>
  </si>
  <si>
    <t>F</t>
  </si>
  <si>
    <t>D</t>
  </si>
  <si>
    <t>C</t>
  </si>
  <si>
    <t>B</t>
  </si>
  <si>
    <t>A</t>
  </si>
  <si>
    <t>Computer Sales Depot</t>
  </si>
  <si>
    <t>Item ID</t>
  </si>
  <si>
    <t>Name</t>
  </si>
  <si>
    <t>Unit Price</t>
  </si>
  <si>
    <t>Quantity</t>
  </si>
  <si>
    <t>Inventory Value</t>
  </si>
  <si>
    <t>IN0001</t>
  </si>
  <si>
    <t>Item 1</t>
  </si>
  <si>
    <t>IN0002</t>
  </si>
  <si>
    <t>Item 2</t>
  </si>
  <si>
    <t>IN0003</t>
  </si>
  <si>
    <t>Item 3</t>
  </si>
  <si>
    <t>IN0004</t>
  </si>
  <si>
    <t>Item 4</t>
  </si>
  <si>
    <t>IN0005</t>
  </si>
  <si>
    <t>Item 5</t>
  </si>
  <si>
    <t>IN0006</t>
  </si>
  <si>
    <t>Item 6</t>
  </si>
  <si>
    <t>IN0007</t>
  </si>
  <si>
    <t>Item 7</t>
  </si>
  <si>
    <t>IN0008</t>
  </si>
  <si>
    <t>Item 8</t>
  </si>
  <si>
    <t>IN0009</t>
  </si>
  <si>
    <t>Item 9</t>
  </si>
  <si>
    <t>IN0010</t>
  </si>
  <si>
    <t>Item 10</t>
  </si>
  <si>
    <t>IN0011</t>
  </si>
  <si>
    <t>Item 11</t>
  </si>
  <si>
    <t>IN0012</t>
  </si>
  <si>
    <t>Item 12</t>
  </si>
  <si>
    <t>Item Unit Price - Lookup</t>
  </si>
  <si>
    <t>Bonus Calculation</t>
  </si>
  <si>
    <t>Grading Rubric (for both sheets)</t>
  </si>
  <si>
    <t>Assumptions:</t>
  </si>
  <si>
    <t>Sales to Get Bonus</t>
  </si>
  <si>
    <t>1. You complete the activity using 
IF functions &amp; Total accurately on IF sheet</t>
  </si>
  <si>
    <t>5 (met)</t>
  </si>
  <si>
    <t>3-1</t>
  </si>
  <si>
    <t>0 (not met)</t>
  </si>
  <si>
    <t>Amount of Bonus</t>
  </si>
  <si>
    <t>2. You complete the activity using 
COUNTIF AND SUMIF accurately on COUNTIF AND SUMIF sheet.</t>
  </si>
  <si>
    <t xml:space="preserve">10  (met) </t>
  </si>
  <si>
    <t>Salesperson</t>
  </si>
  <si>
    <t>Sales</t>
  </si>
  <si>
    <t>Bonus</t>
  </si>
  <si>
    <t>Anderson, Fred</t>
  </si>
  <si>
    <t>Bosox, Anne</t>
  </si>
  <si>
    <t>Fenske, Deb</t>
  </si>
  <si>
    <t>/15</t>
  </si>
  <si>
    <t>George, Tim</t>
  </si>
  <si>
    <t>Miller, Margo</t>
  </si>
  <si>
    <t>O'Leary, Pat</t>
  </si>
  <si>
    <t>Polanski, Sam</t>
  </si>
  <si>
    <t>Sanchez, Anna</t>
  </si>
  <si>
    <t>Bonus Calculation:</t>
  </si>
  <si>
    <t>If a person's sales are greater than the Sales to Get Bonus,</t>
  </si>
  <si>
    <t>pay them the Bonus, otherwise they get no Bonus.</t>
  </si>
  <si>
    <t>Note: Be sure to use absolute references to cells B6 and B7.</t>
  </si>
  <si>
    <t>Inputs data cells are grey.</t>
  </si>
  <si>
    <t>Penn Liberty Motors</t>
  </si>
  <si>
    <t>Accessories Inventory</t>
  </si>
  <si>
    <t>July 31, 20XX</t>
  </si>
  <si>
    <t>Accessory</t>
  </si>
  <si>
    <t>Supplier</t>
  </si>
  <si>
    <t>Current Inventory</t>
  </si>
  <si>
    <t>Cost per Item</t>
  </si>
  <si>
    <t>Cost of Inventory</t>
  </si>
  <si>
    <t>Floor Mat</t>
  </si>
  <si>
    <t>Cars 'N More</t>
  </si>
  <si>
    <t>Cup Holder</t>
  </si>
  <si>
    <t>Auto Extras</t>
  </si>
  <si>
    <t>Roof Rack</t>
  </si>
  <si>
    <t>Dash Kit</t>
  </si>
  <si>
    <t>Car Details</t>
  </si>
  <si>
    <t>Exhaust Tips</t>
  </si>
  <si>
    <t>Deflectors</t>
  </si>
  <si>
    <t>Car Bra</t>
  </si>
  <si>
    <t>Car Cover</t>
  </si>
  <si>
    <t>Bike Rack</t>
  </si>
  <si>
    <t>Spiffy Cars</t>
  </si>
  <si>
    <t>Fender Trim</t>
  </si>
  <si>
    <t>Spare Tire</t>
  </si>
  <si>
    <t>Number of 
Accessories</t>
  </si>
  <si>
    <t>Commission Calculation</t>
  </si>
  <si>
    <t>Low Sales Rate</t>
  </si>
  <si>
    <t>When completed correctly, your worksheet should look like Figure B:</t>
  </si>
  <si>
    <t>High Sales Rate</t>
  </si>
  <si>
    <t>Low/High Sales Cut</t>
  </si>
  <si>
    <t>Figure B:</t>
  </si>
  <si>
    <t>Commission</t>
  </si>
  <si>
    <t>Commission Calculation:</t>
  </si>
  <si>
    <t>If their Sales are greater than or equal to the Low/High Sales Cut,</t>
  </si>
  <si>
    <t>then all their Sales get the High Sales Commission Rate,</t>
  </si>
  <si>
    <t>otherwise all their sales get the Low Sales Commission Rate.</t>
  </si>
  <si>
    <t>Commission = Sales * Commission Rate</t>
  </si>
  <si>
    <t>Note: Be sure to use absolute references to cells B3, B4, and B5.</t>
  </si>
  <si>
    <t>Payroll Increases</t>
  </si>
  <si>
    <t>Regular Increase %</t>
  </si>
  <si>
    <t>When completed correctly, your worksheet should look like Figure C:</t>
  </si>
  <si>
    <t>Merit Increase %</t>
  </si>
  <si>
    <t>Figure C:</t>
  </si>
  <si>
    <t>Merit (Y/N)</t>
  </si>
  <si>
    <t>Current
Rate</t>
  </si>
  <si>
    <t>Proposed
Rate</t>
  </si>
  <si>
    <t>Y</t>
  </si>
  <si>
    <t>N</t>
  </si>
  <si>
    <t>Proposed Rate Calculation:</t>
  </si>
  <si>
    <t>If they get a Merit raise (Merit=Y) then give them the merit increase,</t>
  </si>
  <si>
    <t>otherwise give them the regular increase.</t>
  </si>
  <si>
    <t>Proposed Rate = Current Rate + (Current Rate * Increase)</t>
  </si>
  <si>
    <t>Note: Be sure to use absolute references to cells B3 and B4.</t>
  </si>
  <si>
    <t>Range:</t>
  </si>
  <si>
    <t>Mean:</t>
  </si>
  <si>
    <t>Median:</t>
  </si>
  <si>
    <t>Mode1:</t>
  </si>
  <si>
    <t>Mode2:</t>
  </si>
  <si>
    <t>Variance:</t>
  </si>
  <si>
    <t>Standard Deviation</t>
  </si>
  <si>
    <t>Jesse Xiong</t>
  </si>
  <si>
    <t>M6 Frequency Distribution</t>
  </si>
  <si>
    <t>Coefficiant of Variation:</t>
  </si>
  <si>
    <t>Furniture Pricing and Discount Worksheet</t>
  </si>
  <si>
    <t>Sofa</t>
  </si>
  <si>
    <t>Lamp</t>
  </si>
  <si>
    <t>Chair</t>
  </si>
  <si>
    <t>Table</t>
  </si>
  <si>
    <t>Furniture Price Calculations</t>
  </si>
  <si>
    <t>Furniture Type</t>
  </si>
  <si>
    <t>Wholesale Cost</t>
  </si>
  <si>
    <t>List Price</t>
  </si>
  <si>
    <t>Best Discount Price</t>
  </si>
  <si>
    <t>Bed</t>
  </si>
  <si>
    <t>Assumptions</t>
  </si>
  <si>
    <t>Markup Multiplier</t>
  </si>
  <si>
    <t>fixed add-on</t>
  </si>
  <si>
    <t>discount percentage</t>
  </si>
  <si>
    <t>Eau Claire Eatery</t>
  </si>
  <si>
    <t>Eau Claire Bistro Tip Tracker</t>
  </si>
  <si>
    <t>Customer #</t>
  </si>
  <si>
    <t xml:space="preserve">Food Cost </t>
  </si>
  <si>
    <t xml:space="preserve">Drink cost </t>
  </si>
  <si>
    <t>Total Purchase
 before tip</t>
  </si>
  <si>
    <t>Total Tip</t>
  </si>
  <si>
    <t>Hostess Tip</t>
  </si>
  <si>
    <t>Bartender Tip</t>
  </si>
  <si>
    <t>Gratuity %</t>
  </si>
  <si>
    <t>Hostess Tip %</t>
  </si>
  <si>
    <t>Bartender Tip %</t>
  </si>
  <si>
    <t>Server Tip</t>
  </si>
  <si>
    <t>VLOOKUP1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</si>
</sst>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5" formatCode="0.0%"/>
    <numFmt numFmtId="166" formatCode="_ &quot;₹&quot;\ * #,##0.00_ ;_ &quot;₹&quot;\ * \-#,##0.00_ ;_ &quot;₹&quot;\ * &quot;-&quot;??_ ;_ @_ "/>
    <numFmt numFmtId="167" formatCode="_ * #,##0.00_ ;_ * \-#,##0.00_ ;_ * &quot;-&quot;??_ ;_ @_ "/>
    <numFmt numFmtId="168" formatCode="&quot;$&quot;#,##0.00"/>
    <numFmt numFmtId="169" formatCode="_(&quot;$&quot;* #,##0_);_(&quot;$&quot;* \(#,##0\);_(&quot;$&quot;* &quot;-&quot;??_);_(@_)"/>
    <numFmt numFmtId="170" formatCode="_(* #,##0_);_(* \(#,##0\);_(* &quot;-&quot;??_);_(@_)"/>
  </numFmts>
  <fonts count="16" x14ac:knownFonts="1">
    <font>
      <sz val="11"/>
      <color theme="1"/>
      <name val="Calibri"/>
      <family val="2"/>
      <scheme val="minor"/>
    </font>
    <font>
      <b/>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0"/>
      <name val="Arial"/>
      <family val="2"/>
    </font>
    <font>
      <b/>
      <sz val="11"/>
      <name val="Arial"/>
      <family val="2"/>
    </font>
    <font>
      <i/>
      <sz val="10"/>
      <name val="Arial"/>
      <family val="2"/>
    </font>
    <font>
      <b/>
      <i/>
      <sz val="10"/>
      <name val="Arial"/>
      <family val="2"/>
    </font>
    <font>
      <b/>
      <sz val="10"/>
      <name val="Arial"/>
      <family val="2"/>
    </font>
    <font>
      <b/>
      <sz val="11"/>
      <name val="Calibri"/>
      <family val="2"/>
      <scheme val="minor"/>
    </font>
    <font>
      <b/>
      <i/>
      <sz val="14"/>
      <name val="Arial"/>
      <family val="2"/>
    </font>
    <font>
      <b/>
      <sz val="11"/>
      <color indexed="8"/>
      <name val="Calibri"/>
      <family val="2"/>
    </font>
    <font>
      <b/>
      <i/>
      <sz val="10"/>
      <color rgb="FFFF0000"/>
      <name val="Arial"/>
      <family val="2"/>
    </font>
    <font>
      <sz val="12"/>
      <name val="Times New Roman"/>
      <family val="1"/>
    </font>
    <font>
      <b/>
      <sz val="15"/>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rgb="FF92D050"/>
        <bgColor indexed="64"/>
      </patternFill>
    </fill>
  </fills>
  <borders count="26">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9" fontId="5" fillId="0" borderId="0" applyFont="0" applyFill="0" applyBorder="0" applyAlignment="0" applyProtection="0"/>
    <xf numFmtId="44" fontId="5" fillId="0" borderId="0" applyFont="0" applyFill="0" applyBorder="0" applyAlignment="0" applyProtection="0"/>
    <xf numFmtId="43" fontId="5" fillId="0" borderId="0" applyFont="0" applyFill="0" applyBorder="0" applyAlignment="0" applyProtection="0"/>
  </cellStyleXfs>
  <cellXfs count="129">
    <xf numFmtId="0" fontId="0" fillId="0" borderId="0" xfId="0"/>
    <xf numFmtId="0" fontId="0" fillId="0" borderId="0" xfId="0" applyAlignment="1">
      <alignment horizontal="right"/>
    </xf>
    <xf numFmtId="0" fontId="1" fillId="0" borderId="0" xfId="0" applyFont="1" applyAlignment="1">
      <alignment horizontal="right"/>
    </xf>
    <xf numFmtId="0" fontId="1" fillId="0" borderId="0" xfId="0" applyFont="1"/>
    <xf numFmtId="2" fontId="0" fillId="0" borderId="0" xfId="0" applyNumberFormat="1"/>
    <xf numFmtId="9" fontId="0" fillId="0" borderId="0" xfId="3" applyFont="1"/>
    <xf numFmtId="0" fontId="0" fillId="0" borderId="0" xfId="0" applyAlignment="1">
      <alignment horizontal="center"/>
    </xf>
    <xf numFmtId="165" fontId="0" fillId="0" borderId="0" xfId="3" applyNumberFormat="1" applyFont="1" applyAlignment="1">
      <alignment horizontal="center"/>
    </xf>
    <xf numFmtId="9" fontId="0" fillId="0" borderId="0" xfId="3" applyFont="1" applyAlignment="1">
      <alignment horizontal="center"/>
    </xf>
    <xf numFmtId="0" fontId="1" fillId="0" borderId="1" xfId="0" applyFont="1" applyBorder="1" applyAlignment="1">
      <alignment horizontal="center"/>
    </xf>
    <xf numFmtId="0" fontId="1" fillId="0" borderId="1" xfId="0" applyFont="1" applyBorder="1"/>
    <xf numFmtId="0" fontId="3" fillId="0" borderId="0" xfId="0" applyFont="1" applyAlignment="1">
      <alignment horizontal="center" wrapText="1"/>
    </xf>
    <xf numFmtId="0" fontId="4" fillId="0" borderId="0" xfId="0" applyFont="1"/>
    <xf numFmtId="0" fontId="4" fillId="0" borderId="0" xfId="0" applyFont="1" applyAlignment="1">
      <alignment horizontal="center" wrapText="1"/>
    </xf>
    <xf numFmtId="0" fontId="3" fillId="0" borderId="0" xfId="0" applyFont="1" applyAlignment="1">
      <alignment horizontal="right"/>
    </xf>
    <xf numFmtId="44" fontId="4" fillId="0" borderId="0" xfId="2" applyFont="1"/>
    <xf numFmtId="0" fontId="0" fillId="0" borderId="2" xfId="0" applyBorder="1"/>
    <xf numFmtId="0" fontId="5" fillId="0" borderId="0" xfId="0" applyFont="1"/>
    <xf numFmtId="0" fontId="6" fillId="0" borderId="3" xfId="0" applyFont="1" applyBorder="1" applyAlignment="1">
      <alignment horizontal="left"/>
    </xf>
    <xf numFmtId="0" fontId="7" fillId="0" borderId="4"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0" fillId="0" borderId="6" xfId="0" applyBorder="1" applyAlignment="1">
      <alignment horizontal="center"/>
    </xf>
    <xf numFmtId="0" fontId="0" fillId="2" borderId="0" xfId="0" applyFill="1"/>
    <xf numFmtId="0" fontId="0" fillId="0" borderId="10" xfId="0" applyBorder="1"/>
    <xf numFmtId="0" fontId="0" fillId="0" borderId="6" xfId="0" applyBorder="1"/>
    <xf numFmtId="0" fontId="9" fillId="0" borderId="10" xfId="0" applyFont="1" applyBorder="1" applyAlignment="1">
      <alignment horizontal="center"/>
    </xf>
    <xf numFmtId="0" fontId="9" fillId="0" borderId="0" xfId="0" applyFont="1" applyAlignment="1">
      <alignment horizontal="center"/>
    </xf>
    <xf numFmtId="0" fontId="5" fillId="0" borderId="10" xfId="0" applyFont="1" applyBorder="1"/>
    <xf numFmtId="16" fontId="5" fillId="0" borderId="0" xfId="0" quotePrefix="1" applyNumberFormat="1" applyFont="1" applyAlignment="1">
      <alignment horizontal="center"/>
    </xf>
    <xf numFmtId="17" fontId="5" fillId="0" borderId="6" xfId="0" quotePrefix="1" applyNumberFormat="1" applyFont="1" applyBorder="1" applyAlignment="1">
      <alignment horizontal="center"/>
    </xf>
    <xf numFmtId="0" fontId="5" fillId="0" borderId="0" xfId="0" quotePrefix="1" applyFont="1" applyAlignment="1">
      <alignment horizontal="center"/>
    </xf>
    <xf numFmtId="0" fontId="5" fillId="0" borderId="6" xfId="0" applyFont="1" applyBorder="1"/>
    <xf numFmtId="0" fontId="9" fillId="0" borderId="0" xfId="0" applyFont="1"/>
    <xf numFmtId="0" fontId="9" fillId="0" borderId="6" xfId="0" applyFont="1" applyBorder="1"/>
    <xf numFmtId="0" fontId="0" fillId="0" borderId="11" xfId="0" applyBorder="1"/>
    <xf numFmtId="0" fontId="9" fillId="0" borderId="12" xfId="0" applyFont="1" applyBorder="1"/>
    <xf numFmtId="0" fontId="0" fillId="0" borderId="14" xfId="0" applyBorder="1" applyAlignment="1">
      <alignment horizontal="center"/>
    </xf>
    <xf numFmtId="0" fontId="0" fillId="2" borderId="1" xfId="0" applyFill="1" applyBorder="1"/>
    <xf numFmtId="2" fontId="0" fillId="0" borderId="1" xfId="0" applyNumberFormat="1" applyBorder="1"/>
    <xf numFmtId="0" fontId="9" fillId="0" borderId="1" xfId="0" applyFont="1" applyBorder="1" applyAlignment="1">
      <alignment horizontal="center"/>
    </xf>
    <xf numFmtId="0" fontId="0" fillId="0" borderId="0" xfId="0" applyAlignment="1">
      <alignment horizontal="left" vertical="center" indent="1"/>
    </xf>
    <xf numFmtId="8" fontId="0" fillId="0" borderId="0" xfId="4" applyNumberFormat="1" applyFont="1" applyFill="1" applyBorder="1" applyAlignment="1">
      <alignment horizontal="right" vertical="center" indent="1"/>
    </xf>
    <xf numFmtId="0" fontId="0" fillId="0" borderId="0" xfId="5" applyNumberFormat="1" applyFont="1" applyFill="1" applyBorder="1" applyAlignment="1">
      <alignment horizontal="right" vertical="center" indent="1"/>
    </xf>
    <xf numFmtId="8" fontId="0" fillId="0" borderId="0" xfId="5" applyNumberFormat="1" applyFont="1" applyFill="1" applyBorder="1" applyAlignment="1">
      <alignment horizontal="right" vertical="center" indent="1"/>
    </xf>
    <xf numFmtId="0" fontId="0" fillId="3" borderId="0" xfId="0" applyFill="1" applyAlignment="1">
      <alignment horizontal="left" vertical="center" indent="1"/>
    </xf>
    <xf numFmtId="8" fontId="0" fillId="3" borderId="0" xfId="4" applyNumberFormat="1" applyFont="1" applyFill="1" applyBorder="1" applyAlignment="1">
      <alignment horizontal="right" vertical="center" indent="1"/>
    </xf>
    <xf numFmtId="0" fontId="10" fillId="0" borderId="0" xfId="0" applyFont="1"/>
    <xf numFmtId="0" fontId="0" fillId="0" borderId="5" xfId="0" applyBorder="1"/>
    <xf numFmtId="0" fontId="11" fillId="0" borderId="0" xfId="0" applyFont="1"/>
    <xf numFmtId="0" fontId="8" fillId="0" borderId="0" xfId="0" applyFont="1"/>
    <xf numFmtId="0" fontId="9" fillId="0" borderId="18" xfId="0" applyFont="1" applyBorder="1"/>
    <xf numFmtId="44" fontId="0" fillId="5" borderId="0" xfId="2" applyFont="1" applyFill="1"/>
    <xf numFmtId="0" fontId="5" fillId="0" borderId="2" xfId="0" applyFont="1" applyBorder="1"/>
    <xf numFmtId="16" fontId="5" fillId="0" borderId="2" xfId="0" quotePrefix="1" applyNumberFormat="1" applyFont="1" applyBorder="1"/>
    <xf numFmtId="43" fontId="0" fillId="5" borderId="0" xfId="1" applyFont="1" applyFill="1"/>
    <xf numFmtId="43" fontId="0" fillId="0" borderId="0" xfId="1" applyFont="1"/>
    <xf numFmtId="0" fontId="9" fillId="0" borderId="2" xfId="0" applyFont="1" applyBorder="1"/>
    <xf numFmtId="43" fontId="0" fillId="0" borderId="19" xfId="0" applyNumberFormat="1" applyBorder="1"/>
    <xf numFmtId="0" fontId="7" fillId="0" borderId="0" xfId="0" applyFont="1"/>
    <xf numFmtId="0" fontId="5" fillId="5" borderId="0" xfId="0" applyFont="1" applyFill="1"/>
    <xf numFmtId="0" fontId="5" fillId="0" borderId="0" xfId="0" applyFont="1" applyAlignment="1">
      <alignment wrapText="1"/>
    </xf>
    <xf numFmtId="0" fontId="5" fillId="0" borderId="0" xfId="0" applyFont="1" applyAlignment="1">
      <alignment horizontal="center"/>
    </xf>
    <xf numFmtId="0" fontId="0" fillId="0" borderId="0" xfId="0" applyAlignment="1">
      <alignment horizontal="left"/>
    </xf>
    <xf numFmtId="168" fontId="0" fillId="0" borderId="0" xfId="0" applyNumberFormat="1"/>
    <xf numFmtId="0" fontId="1" fillId="0" borderId="0" xfId="0" quotePrefix="1" applyFont="1"/>
    <xf numFmtId="0" fontId="12" fillId="0" borderId="12" xfId="0" applyFont="1" applyBorder="1" applyAlignment="1">
      <alignment horizontal="center" wrapText="1"/>
    </xf>
    <xf numFmtId="168" fontId="12" fillId="0" borderId="12" xfId="0" applyNumberFormat="1" applyFont="1" applyBorder="1" applyAlignment="1">
      <alignment horizontal="center" wrapText="1"/>
    </xf>
    <xf numFmtId="0" fontId="12" fillId="0" borderId="0" xfId="0" applyFont="1" applyAlignment="1">
      <alignment horizontal="center"/>
    </xf>
    <xf numFmtId="0" fontId="0" fillId="5" borderId="0" xfId="1" applyNumberFormat="1" applyFont="1" applyFill="1" applyAlignment="1">
      <alignment horizontal="right"/>
    </xf>
    <xf numFmtId="169" fontId="0" fillId="5" borderId="0" xfId="2" applyNumberFormat="1" applyFont="1" applyFill="1"/>
    <xf numFmtId="169" fontId="0" fillId="0" borderId="0" xfId="2" applyNumberFormat="1" applyFont="1"/>
    <xf numFmtId="170" fontId="0" fillId="5" borderId="0" xfId="1" applyNumberFormat="1" applyFont="1" applyFill="1"/>
    <xf numFmtId="170" fontId="0" fillId="0" borderId="0" xfId="1" applyNumberFormat="1" applyFont="1"/>
    <xf numFmtId="0" fontId="1" fillId="0" borderId="12" xfId="0" applyFont="1" applyBorder="1" applyAlignment="1">
      <alignment horizontal="center" vertical="center" wrapText="1"/>
    </xf>
    <xf numFmtId="0" fontId="9" fillId="0" borderId="12" xfId="0" applyFont="1" applyBorder="1" applyAlignment="1">
      <alignment horizontal="center" wrapText="1"/>
    </xf>
    <xf numFmtId="0" fontId="0" fillId="5" borderId="0" xfId="0" applyFill="1"/>
    <xf numFmtId="10" fontId="0" fillId="0" borderId="0" xfId="6" applyNumberFormat="1" applyFont="1"/>
    <xf numFmtId="44" fontId="0" fillId="0" borderId="0" xfId="7" applyFont="1"/>
    <xf numFmtId="0" fontId="13" fillId="0" borderId="0" xfId="0" applyFont="1"/>
    <xf numFmtId="43" fontId="0" fillId="0" borderId="0" xfId="8" applyFont="1"/>
    <xf numFmtId="0" fontId="9" fillId="0" borderId="0" xfId="0" applyFont="1" applyAlignment="1">
      <alignment horizontal="center" wrapText="1"/>
    </xf>
    <xf numFmtId="43" fontId="0" fillId="0" borderId="0" xfId="8" applyFont="1" applyAlignment="1">
      <alignment horizontal="center"/>
    </xf>
    <xf numFmtId="0" fontId="1" fillId="0" borderId="1"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9" fillId="0" borderId="0" xfId="0" applyFont="1" applyAlignment="1">
      <alignment horizontal="center"/>
    </xf>
    <xf numFmtId="0" fontId="9" fillId="0" borderId="6"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1" fillId="0" borderId="0" xfId="0" applyFont="1" applyAlignment="1">
      <alignment horizontal="center"/>
    </xf>
    <xf numFmtId="0" fontId="9" fillId="4" borderId="15" xfId="0" applyFont="1" applyFill="1" applyBorder="1" applyAlignment="1">
      <alignment horizontal="center"/>
    </xf>
    <xf numFmtId="0" fontId="9" fillId="4" borderId="16" xfId="0" applyFont="1" applyFill="1" applyBorder="1" applyAlignment="1">
      <alignment horizontal="center"/>
    </xf>
    <xf numFmtId="0" fontId="9" fillId="4" borderId="17" xfId="0" applyFont="1" applyFill="1" applyBorder="1" applyAlignment="1">
      <alignment horizontal="center"/>
    </xf>
    <xf numFmtId="0" fontId="9" fillId="0" borderId="2" xfId="0" applyFont="1" applyBorder="1" applyAlignment="1">
      <alignment horizontal="center"/>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0" fillId="0" borderId="2" xfId="0" applyBorder="1" applyAlignment="1">
      <alignment horizontal="left" vertical="top" wrapText="1"/>
    </xf>
    <xf numFmtId="2" fontId="0" fillId="0" borderId="0" xfId="0" applyNumberFormat="1" applyAlignment="1">
      <alignment horizontal="center"/>
    </xf>
    <xf numFmtId="0" fontId="14" fillId="6" borderId="0" xfId="0" applyFont="1" applyFill="1" applyAlignment="1">
      <alignment horizontal="center" wrapText="1"/>
    </xf>
    <xf numFmtId="0" fontId="4" fillId="6" borderId="0" xfId="0" applyFont="1" applyFill="1" applyAlignment="1">
      <alignment horizontal="center" wrapText="1"/>
    </xf>
    <xf numFmtId="0" fontId="4" fillId="7" borderId="0" xfId="0" applyFont="1" applyFill="1" applyAlignment="1">
      <alignment horizontal="center" wrapText="1"/>
    </xf>
    <xf numFmtId="44" fontId="4" fillId="0" borderId="0" xfId="0" applyNumberFormat="1" applyFont="1"/>
    <xf numFmtId="1" fontId="4" fillId="0" borderId="0" xfId="0" applyNumberFormat="1" applyFont="1"/>
    <xf numFmtId="0" fontId="3" fillId="0" borderId="0" xfId="0" applyFont="1"/>
    <xf numFmtId="9" fontId="4" fillId="0" borderId="0" xfId="3" applyFont="1"/>
    <xf numFmtId="0" fontId="0" fillId="0" borderId="0" xfId="0" applyAlignment="1"/>
    <xf numFmtId="0" fontId="15" fillId="0" borderId="0" xfId="0" applyFont="1" applyAlignment="1"/>
    <xf numFmtId="0" fontId="0" fillId="0" borderId="20" xfId="0" applyBorder="1"/>
    <xf numFmtId="44" fontId="0" fillId="0" borderId="2" xfId="0" applyNumberFormat="1" applyBorder="1"/>
    <xf numFmtId="0" fontId="1" fillId="0" borderId="20" xfId="0" applyFont="1" applyBorder="1" applyAlignment="1">
      <alignment horizontal="center" vertical="center"/>
    </xf>
    <xf numFmtId="0" fontId="15" fillId="0" borderId="21" xfId="0" applyFont="1" applyBorder="1" applyAlignment="1">
      <alignment horizontal="center"/>
    </xf>
    <xf numFmtId="0" fontId="15" fillId="0" borderId="22" xfId="0" applyFont="1" applyBorder="1" applyAlignment="1">
      <alignment horizontal="center"/>
    </xf>
    <xf numFmtId="0" fontId="15" fillId="0" borderId="23" xfId="0" applyFont="1" applyBorder="1" applyAlignment="1">
      <alignment horizontal="center"/>
    </xf>
    <xf numFmtId="9" fontId="0" fillId="0" borderId="2" xfId="3" applyNumberFormat="1" applyFont="1" applyBorder="1"/>
    <xf numFmtId="2" fontId="0" fillId="0" borderId="20" xfId="0" applyNumberFormat="1" applyBorder="1"/>
    <xf numFmtId="0" fontId="1" fillId="0" borderId="24" xfId="0" applyFont="1" applyBorder="1" applyAlignment="1">
      <alignment horizontal="center"/>
    </xf>
    <xf numFmtId="0" fontId="1" fillId="0" borderId="25" xfId="0" applyFont="1" applyBorder="1" applyAlignment="1">
      <alignment horizontal="center"/>
    </xf>
    <xf numFmtId="0" fontId="1" fillId="0" borderId="21" xfId="0" applyFont="1" applyBorder="1" applyAlignment="1">
      <alignment horizontal="center"/>
    </xf>
    <xf numFmtId="0" fontId="1" fillId="0" borderId="23" xfId="0" applyFont="1" applyBorder="1" applyAlignment="1">
      <alignment horizontal="center"/>
    </xf>
    <xf numFmtId="0" fontId="1" fillId="0" borderId="20" xfId="0" applyFont="1" applyBorder="1" applyAlignment="1">
      <alignment horizontal="center" vertical="center" wrapText="1"/>
    </xf>
    <xf numFmtId="9" fontId="0" fillId="0" borderId="20" xfId="3" applyFont="1" applyBorder="1"/>
    <xf numFmtId="9" fontId="0" fillId="0" borderId="2" xfId="3" applyFont="1" applyBorder="1"/>
    <xf numFmtId="0" fontId="1" fillId="0" borderId="20" xfId="0" applyFont="1" applyFill="1" applyBorder="1" applyAlignment="1">
      <alignment horizontal="center" vertical="center"/>
    </xf>
  </cellXfs>
  <cellStyles count="9">
    <cellStyle name="Comma" xfId="1" builtinId="3"/>
    <cellStyle name="Comma 2" xfId="8" xr:uid="{CCC0CF5E-C73D-4CB4-AEB5-66D1E0C7837D}"/>
    <cellStyle name="Comma 3" xfId="5" xr:uid="{BE467736-6BF7-4A91-A22F-60B33070F0FE}"/>
    <cellStyle name="Currency" xfId="2" builtinId="4"/>
    <cellStyle name="Currency 2" xfId="7" xr:uid="{DF23A0BB-D304-4310-9CB4-475A7726F7FD}"/>
    <cellStyle name="Currency 3" xfId="4" xr:uid="{D7C9E07D-80E9-43D4-8800-825F6EF6F47B}"/>
    <cellStyle name="Normal" xfId="0" builtinId="0"/>
    <cellStyle name="Percent" xfId="3" builtinId="5"/>
    <cellStyle name="Percent 2" xfId="6" xr:uid="{8FBA5952-066B-4004-B821-98F00B9BCE1B}"/>
  </cellStyles>
  <dxfs count="3">
    <dxf>
      <font>
        <color theme="1"/>
      </font>
      <fill>
        <patternFill>
          <bgColor theme="9" tint="0.79998168889431442"/>
        </patternFill>
      </fill>
    </dxf>
    <dxf>
      <font>
        <strike/>
        <color theme="0" tint="-0.34998626667073579"/>
      </font>
    </dxf>
    <dxf>
      <font>
        <color theme="1"/>
      </font>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'Soft Drinks Data'!$D$5:$D$9</c:f>
              <c:strCache>
                <c:ptCount val="5"/>
                <c:pt idx="0">
                  <c:v>Coca-Cola</c:v>
                </c:pt>
                <c:pt idx="1">
                  <c:v>Diet Coke</c:v>
                </c:pt>
                <c:pt idx="2">
                  <c:v>Dr. Pepper</c:v>
                </c:pt>
                <c:pt idx="3">
                  <c:v>Pepsi</c:v>
                </c:pt>
                <c:pt idx="4">
                  <c:v>Sprite</c:v>
                </c:pt>
              </c:strCache>
            </c:strRef>
          </c:cat>
          <c:val>
            <c:numRef>
              <c:f>'Soft Drinks Data'!$G$5:$G$9</c:f>
              <c:numCache>
                <c:formatCode>0%</c:formatCode>
                <c:ptCount val="5"/>
                <c:pt idx="0">
                  <c:v>0.38</c:v>
                </c:pt>
                <c:pt idx="1">
                  <c:v>0.16</c:v>
                </c:pt>
                <c:pt idx="2">
                  <c:v>0.1</c:v>
                </c:pt>
                <c:pt idx="3">
                  <c:v>0.26</c:v>
                </c:pt>
                <c:pt idx="4">
                  <c:v>0.1</c:v>
                </c:pt>
              </c:numCache>
            </c:numRef>
          </c:val>
          <c:extLst>
            <c:ext xmlns:c16="http://schemas.microsoft.com/office/drawing/2014/chart" uri="{C3380CC4-5D6E-409C-BE32-E72D297353CC}">
              <c16:uniqueId val="{00000000-9BB7-4437-8772-ADC86A012D17}"/>
            </c:ext>
          </c:extLst>
        </c:ser>
        <c:dLbls>
          <c:showLegendKey val="0"/>
          <c:showVal val="0"/>
          <c:showCatName val="0"/>
          <c:showSerName val="0"/>
          <c:showPercent val="0"/>
          <c:showBubbleSize val="0"/>
        </c:dLbls>
        <c:gapWidth val="219"/>
        <c:overlap val="-27"/>
        <c:axId val="1565580528"/>
        <c:axId val="1565581008"/>
      </c:barChart>
      <c:catAx>
        <c:axId val="15655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581008"/>
        <c:crosses val="autoZero"/>
        <c:auto val="1"/>
        <c:lblAlgn val="ctr"/>
        <c:lblOffset val="100"/>
        <c:noMultiLvlLbl val="0"/>
      </c:catAx>
      <c:valAx>
        <c:axId val="1565581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580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Age at Death (years)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 at Death (years)</a:t>
          </a:r>
        </a:p>
      </cx:txPr>
    </cx:title>
    <cx:plotArea>
      <cx:plotAreaRegion>
        <cx:series layoutId="clusteredColumn" uniqueId="{AEB1B951-7C21-444E-8039-064178426F95}">
          <cx:tx>
            <cx:txData>
              <cx:f>_xlchart.v1.0</cx:f>
              <cx:v>Age at Death (years)</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0</xdr:colOff>
      <xdr:row>11</xdr:row>
      <xdr:rowOff>0</xdr:rowOff>
    </xdr:from>
    <xdr:to>
      <xdr:col>7</xdr:col>
      <xdr:colOff>676275</xdr:colOff>
      <xdr:row>25</xdr:row>
      <xdr:rowOff>147637</xdr:rowOff>
    </xdr:to>
    <xdr:graphicFrame macro="">
      <xdr:nvGraphicFramePr>
        <xdr:cNvPr id="2" name="Chart 1">
          <a:extLst>
            <a:ext uri="{FF2B5EF4-FFF2-40B4-BE49-F238E27FC236}">
              <a16:creationId xmlns:a16="http://schemas.microsoft.com/office/drawing/2014/main" id="{6E019FD3-806F-521C-E7AC-D4401C714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1190624</xdr:colOff>
      <xdr:row>1</xdr:row>
      <xdr:rowOff>23812</xdr:rowOff>
    </xdr:from>
    <xdr:to>
      <xdr:col>15</xdr:col>
      <xdr:colOff>561974</xdr:colOff>
      <xdr:row>17</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31C7E8F-6ADB-9E0B-5930-9E83D5D108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10399" y="214312"/>
              <a:ext cx="4867275" cy="302418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9525</xdr:colOff>
      <xdr:row>15</xdr:row>
      <xdr:rowOff>38100</xdr:rowOff>
    </xdr:from>
    <xdr:to>
      <xdr:col>11</xdr:col>
      <xdr:colOff>3752850</xdr:colOff>
      <xdr:row>20</xdr:row>
      <xdr:rowOff>9524</xdr:rowOff>
    </xdr:to>
    <xdr:sp macro="" textlink="">
      <xdr:nvSpPr>
        <xdr:cNvPr id="2" name="TextBox 1">
          <a:extLst>
            <a:ext uri="{FF2B5EF4-FFF2-40B4-BE49-F238E27FC236}">
              <a16:creationId xmlns:a16="http://schemas.microsoft.com/office/drawing/2014/main" id="{4F569743-E326-42E3-9EB3-D7A7CB2A47AB}"/>
            </a:ext>
          </a:extLst>
        </xdr:cNvPr>
        <xdr:cNvSpPr txBox="1"/>
      </xdr:nvSpPr>
      <xdr:spPr>
        <a:xfrm>
          <a:off x="6745605" y="2796540"/>
          <a:ext cx="3743325" cy="89344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1. Name the range A23:B27 </a:t>
          </a:r>
          <a:r>
            <a:rPr lang="en-US" sz="1100" b="1"/>
            <a:t>Lookup</a:t>
          </a:r>
          <a:r>
            <a:rPr lang="en-US" sz="1100"/>
            <a:t>.</a:t>
          </a:r>
        </a:p>
        <a:p>
          <a:r>
            <a:rPr lang="en-US" sz="1100"/>
            <a:t>2. Use VLOOKUP</a:t>
          </a:r>
          <a:r>
            <a:rPr lang="en-US" sz="1100" baseline="0"/>
            <a:t> to  use the value in Column E to find the corresponding grade in the Grade Lookup table and place it in Column F. </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38100</xdr:colOff>
      <xdr:row>2</xdr:row>
      <xdr:rowOff>76200</xdr:rowOff>
    </xdr:from>
    <xdr:to>
      <xdr:col>14</xdr:col>
      <xdr:colOff>504825</xdr:colOff>
      <xdr:row>13</xdr:row>
      <xdr:rowOff>171450</xdr:rowOff>
    </xdr:to>
    <xdr:sp macro="" textlink="">
      <xdr:nvSpPr>
        <xdr:cNvPr id="2" name="TextBox 1">
          <a:extLst>
            <a:ext uri="{FF2B5EF4-FFF2-40B4-BE49-F238E27FC236}">
              <a16:creationId xmlns:a16="http://schemas.microsoft.com/office/drawing/2014/main" id="{884B2799-F587-46A2-8C8C-E51BF786DD60}"/>
            </a:ext>
          </a:extLst>
        </xdr:cNvPr>
        <xdr:cNvSpPr txBox="1"/>
      </xdr:nvSpPr>
      <xdr:spPr>
        <a:xfrm>
          <a:off x="6065520" y="441960"/>
          <a:ext cx="4124325" cy="2106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Now let’s assume that you want to know the </a:t>
          </a:r>
          <a:r>
            <a:rPr lang="en-US" sz="1100" b="1"/>
            <a:t>unit price </a:t>
          </a:r>
          <a:r>
            <a:rPr lang="en-US" sz="1100"/>
            <a:t>of the item whose Item ID is </a:t>
          </a:r>
          <a:r>
            <a:rPr lang="en-US" sz="1100" b="1"/>
            <a:t>IN0007</a:t>
          </a:r>
          <a:r>
            <a:rPr lang="en-US" sz="1100"/>
            <a:t>. How would you do this? VLOOKUP can easily answer this question. Looking at the  Excel sheet, it is easy to find the unit price of any item, so you may wonder why do you need a special function for this? Well, the</a:t>
          </a:r>
          <a:r>
            <a:rPr lang="en-US" sz="1100" baseline="0"/>
            <a:t> </a:t>
          </a:r>
          <a:r>
            <a:rPr lang="en-US" sz="1100"/>
            <a:t>given sheet contains a small amount of data. But what if the spreadsheet contains thousands of rows? This function can help you in such situations.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601980</xdr:colOff>
      <xdr:row>36</xdr:row>
      <xdr:rowOff>158114</xdr:rowOff>
    </xdr:from>
    <xdr:to>
      <xdr:col>12</xdr:col>
      <xdr:colOff>83820</xdr:colOff>
      <xdr:row>45</xdr:row>
      <xdr:rowOff>78105</xdr:rowOff>
    </xdr:to>
    <xdr:sp macro="" textlink="">
      <xdr:nvSpPr>
        <xdr:cNvPr id="2" name="TextBox 1">
          <a:extLst>
            <a:ext uri="{FF2B5EF4-FFF2-40B4-BE49-F238E27FC236}">
              <a16:creationId xmlns:a16="http://schemas.microsoft.com/office/drawing/2014/main" id="{7DBBE9C2-52D1-4A0C-A4FB-49D9D98732E1}"/>
            </a:ext>
          </a:extLst>
        </xdr:cNvPr>
        <xdr:cNvSpPr txBox="1"/>
      </xdr:nvSpPr>
      <xdr:spPr>
        <a:xfrm>
          <a:off x="4671060" y="6924674"/>
          <a:ext cx="3749040" cy="17487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1. Name the range B6:B35</a:t>
          </a:r>
          <a:r>
            <a:rPr lang="en-US" sz="1100" baseline="0"/>
            <a:t> </a:t>
          </a:r>
          <a:r>
            <a:rPr lang="en-US" sz="1100" b="1" baseline="0"/>
            <a:t>Suppliers</a:t>
          </a:r>
          <a:r>
            <a:rPr lang="en-US" sz="1100" baseline="0"/>
            <a:t>. Name the range E6:E35 </a:t>
          </a:r>
          <a:r>
            <a:rPr lang="en-US" sz="1100" b="1" baseline="0"/>
            <a:t>CostOfInventory</a:t>
          </a:r>
          <a:r>
            <a:rPr lang="en-US" sz="1100" baseline="0"/>
            <a:t>.</a:t>
          </a:r>
        </a:p>
        <a:p>
          <a:endParaRPr lang="en-US" sz="1100"/>
        </a:p>
        <a:p>
          <a:r>
            <a:rPr lang="en-US" sz="1100"/>
            <a:t>2. Use COUNTIF</a:t>
          </a:r>
          <a:r>
            <a:rPr lang="en-US" sz="1100" baseline="0"/>
            <a:t> to determine the number of accessories supplied by each supplier. In other words, count how many times each supplier is listed in the Suppliers range.</a:t>
          </a:r>
        </a:p>
        <a:p>
          <a:endParaRPr lang="en-US" sz="1100" baseline="0"/>
        </a:p>
        <a:p>
          <a:r>
            <a:rPr lang="en-US" sz="1100" baseline="0"/>
            <a:t>3. Use SUMIF to determine  the cost of the inventory for each supplier.</a:t>
          </a:r>
          <a:endParaRPr lang="en-US" sz="1100"/>
        </a:p>
      </xdr:txBody>
    </xdr:sp>
    <xdr:clientData/>
  </xdr:twoCellAnchor>
  <xdr:twoCellAnchor>
    <xdr:from>
      <xdr:col>5</xdr:col>
      <xdr:colOff>598170</xdr:colOff>
      <xdr:row>26</xdr:row>
      <xdr:rowOff>53340</xdr:rowOff>
    </xdr:from>
    <xdr:to>
      <xdr:col>12</xdr:col>
      <xdr:colOff>64770</xdr:colOff>
      <xdr:row>35</xdr:row>
      <xdr:rowOff>22860</xdr:rowOff>
    </xdr:to>
    <xdr:sp macro="" textlink="">
      <xdr:nvSpPr>
        <xdr:cNvPr id="3" name="TextBox 2">
          <a:extLst>
            <a:ext uri="{FF2B5EF4-FFF2-40B4-BE49-F238E27FC236}">
              <a16:creationId xmlns:a16="http://schemas.microsoft.com/office/drawing/2014/main" id="{15C8D600-B65B-4D6C-9DA0-16A36AFA2771}"/>
            </a:ext>
          </a:extLst>
        </xdr:cNvPr>
        <xdr:cNvSpPr txBox="1"/>
      </xdr:nvSpPr>
      <xdr:spPr>
        <a:xfrm>
          <a:off x="4667250" y="4991100"/>
          <a:ext cx="3733800" cy="1615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a:t>
          </a:r>
          <a:r>
            <a:rPr lang="en-US" sz="1100" b="1"/>
            <a:t>COUNTIF</a:t>
          </a:r>
          <a:r>
            <a:rPr lang="en-US" sz="1100"/>
            <a:t>, to count the number of cells that meet a criterion; for example, to count the number of times a particular supplier appears in a</a:t>
          </a:r>
          <a:r>
            <a:rPr lang="en-US" sz="1100" baseline="0"/>
            <a:t> cost of inventory worksheet.</a:t>
          </a:r>
          <a:endParaRPr lang="en-US" sz="1100"/>
        </a:p>
        <a:p>
          <a:endParaRPr lang="en-US" sz="1100"/>
        </a:p>
        <a:p>
          <a:r>
            <a:rPr lang="en-US" sz="1100" b="0" i="0">
              <a:solidFill>
                <a:schemeClr val="dk1"/>
              </a:solidFill>
              <a:effectLst/>
              <a:latin typeface="+mn-lt"/>
              <a:ea typeface="+mn-ea"/>
              <a:cs typeface="+mn-cs"/>
            </a:rPr>
            <a:t>You use the </a:t>
          </a:r>
          <a:r>
            <a:rPr lang="en-US" sz="1100" b="1" i="0">
              <a:solidFill>
                <a:schemeClr val="dk1"/>
              </a:solidFill>
              <a:effectLst/>
              <a:latin typeface="+mn-lt"/>
              <a:ea typeface="+mn-ea"/>
              <a:cs typeface="+mn-cs"/>
            </a:rPr>
            <a:t>SUMIF</a:t>
          </a:r>
          <a:r>
            <a:rPr lang="en-US" sz="1100" b="0" i="0">
              <a:solidFill>
                <a:schemeClr val="dk1"/>
              </a:solidFill>
              <a:effectLst/>
              <a:latin typeface="+mn-lt"/>
              <a:ea typeface="+mn-ea"/>
              <a:cs typeface="+mn-cs"/>
            </a:rPr>
            <a:t> function to sum the values in a range that meet criteria that you specify. For example, suppose that in a column that contains repeated</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various</a:t>
          </a:r>
          <a:r>
            <a:rPr lang="en-US" sz="1100" b="0" i="0" baseline="0">
              <a:solidFill>
                <a:schemeClr val="dk1"/>
              </a:solidFill>
              <a:effectLst/>
              <a:latin typeface="+mn-lt"/>
              <a:ea typeface="+mn-ea"/>
              <a:cs typeface="+mn-cs"/>
            </a:rPr>
            <a:t> suppliers</a:t>
          </a:r>
          <a:r>
            <a:rPr lang="en-US" sz="1100" b="0" i="0">
              <a:solidFill>
                <a:schemeClr val="dk1"/>
              </a:solidFill>
              <a:effectLst/>
              <a:latin typeface="+mn-lt"/>
              <a:ea typeface="+mn-ea"/>
              <a:cs typeface="+mn-cs"/>
            </a:rPr>
            <a:t>, you want to sum the total cost of inventory for particular</a:t>
          </a:r>
          <a:r>
            <a:rPr lang="en-US" sz="1100" b="0" i="0" baseline="0">
              <a:solidFill>
                <a:schemeClr val="dk1"/>
              </a:solidFill>
              <a:effectLst/>
              <a:latin typeface="+mn-lt"/>
              <a:ea typeface="+mn-ea"/>
              <a:cs typeface="+mn-cs"/>
            </a:rPr>
            <a:t> suppliers.</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19050</xdr:colOff>
      <xdr:row>5</xdr:row>
      <xdr:rowOff>28575</xdr:rowOff>
    </xdr:from>
    <xdr:to>
      <xdr:col>13</xdr:col>
      <xdr:colOff>85260</xdr:colOff>
      <xdr:row>21</xdr:row>
      <xdr:rowOff>113906</xdr:rowOff>
    </xdr:to>
    <xdr:pic>
      <xdr:nvPicPr>
        <xdr:cNvPr id="2" name="Picture 1">
          <a:extLst>
            <a:ext uri="{FF2B5EF4-FFF2-40B4-BE49-F238E27FC236}">
              <a16:creationId xmlns:a16="http://schemas.microsoft.com/office/drawing/2014/main" id="{2DAD2287-04B4-48F5-A210-1B92908FADF4}"/>
            </a:ext>
          </a:extLst>
        </xdr:cNvPr>
        <xdr:cNvPicPr>
          <a:picLocks noChangeAspect="1"/>
        </xdr:cNvPicPr>
      </xdr:nvPicPr>
      <xdr:blipFill>
        <a:blip xmlns:r="http://schemas.openxmlformats.org/officeDocument/2006/relationships" r:embed="rId1"/>
        <a:stretch>
          <a:fillRect/>
        </a:stretch>
      </xdr:blipFill>
      <xdr:spPr>
        <a:xfrm>
          <a:off x="5337810" y="981075"/>
          <a:ext cx="3723810" cy="3026651"/>
        </a:xfrm>
        <a:prstGeom prst="rect">
          <a:avLst/>
        </a:prstGeom>
        <a:ln>
          <a:solidFill>
            <a:srgbClr val="FF0000"/>
          </a:solid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5</xdr:row>
      <xdr:rowOff>28575</xdr:rowOff>
    </xdr:from>
    <xdr:to>
      <xdr:col>13</xdr:col>
      <xdr:colOff>151924</xdr:colOff>
      <xdr:row>20</xdr:row>
      <xdr:rowOff>37724</xdr:rowOff>
    </xdr:to>
    <xdr:pic>
      <xdr:nvPicPr>
        <xdr:cNvPr id="2" name="Picture 1">
          <a:extLst>
            <a:ext uri="{FF2B5EF4-FFF2-40B4-BE49-F238E27FC236}">
              <a16:creationId xmlns:a16="http://schemas.microsoft.com/office/drawing/2014/main" id="{BFB71279-DF7F-4FFA-A926-07E9DE177946}"/>
            </a:ext>
          </a:extLst>
        </xdr:cNvPr>
        <xdr:cNvPicPr>
          <a:picLocks noChangeAspect="1"/>
        </xdr:cNvPicPr>
      </xdr:nvPicPr>
      <xdr:blipFill>
        <a:blip xmlns:r="http://schemas.openxmlformats.org/officeDocument/2006/relationships" r:embed="rId1"/>
        <a:stretch>
          <a:fillRect/>
        </a:stretch>
      </xdr:blipFill>
      <xdr:spPr>
        <a:xfrm>
          <a:off x="4983480" y="981075"/>
          <a:ext cx="3809524" cy="3080009"/>
        </a:xfrm>
        <a:prstGeom prst="rect">
          <a:avLst/>
        </a:prstGeom>
        <a:ln>
          <a:solidFill>
            <a:srgbClr val="FF0000"/>
          </a:solid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F03CC-7170-4934-BD83-9CE9391B494F}">
  <sheetPr>
    <tabColor rgb="FF92D050"/>
  </sheetPr>
  <dimension ref="A1:H29"/>
  <sheetViews>
    <sheetView tabSelected="1" zoomScaleNormal="100" workbookViewId="0">
      <selection activeCell="H5" sqref="H5"/>
    </sheetView>
  </sheetViews>
  <sheetFormatPr defaultRowHeight="15" x14ac:dyDescent="0.25"/>
  <cols>
    <col min="1" max="2" width="10.42578125" bestFit="1" customWidth="1"/>
    <col min="4" max="4" width="12" bestFit="1" customWidth="1"/>
    <col min="5" max="5" width="10" bestFit="1" customWidth="1"/>
    <col min="6" max="6" width="18.85546875" customWidth="1"/>
    <col min="7" max="7" width="18.28515625" bestFit="1" customWidth="1"/>
    <col min="8" max="8" width="18" bestFit="1" customWidth="1"/>
  </cols>
  <sheetData>
    <row r="1" spans="1:8" x14ac:dyDescent="0.25">
      <c r="A1" t="s">
        <v>164</v>
      </c>
    </row>
    <row r="2" spans="1:8" x14ac:dyDescent="0.25">
      <c r="A2" t="s">
        <v>165</v>
      </c>
    </row>
    <row r="4" spans="1:8" ht="15.75" thickBot="1" x14ac:dyDescent="0.3">
      <c r="A4" s="83" t="s">
        <v>8</v>
      </c>
      <c r="B4" s="83"/>
      <c r="D4" s="10" t="s">
        <v>9</v>
      </c>
      <c r="E4" s="9" t="s">
        <v>0</v>
      </c>
      <c r="F4" s="9" t="s">
        <v>5</v>
      </c>
      <c r="G4" s="9" t="s">
        <v>6</v>
      </c>
    </row>
    <row r="5" spans="1:8" x14ac:dyDescent="0.25">
      <c r="A5" s="63" t="s">
        <v>10</v>
      </c>
      <c r="B5" s="63" t="s">
        <v>10</v>
      </c>
      <c r="D5" s="3" t="s">
        <v>10</v>
      </c>
      <c r="E5">
        <f>COUNTIF($A$5:$B$29,D5)</f>
        <v>19</v>
      </c>
      <c r="F5">
        <f>E5/$E$10</f>
        <v>0.38</v>
      </c>
      <c r="G5" s="5">
        <f>E5/$E$10</f>
        <v>0.38</v>
      </c>
    </row>
    <row r="6" spans="1:8" x14ac:dyDescent="0.25">
      <c r="A6" s="63" t="s">
        <v>11</v>
      </c>
      <c r="B6" s="63" t="s">
        <v>12</v>
      </c>
      <c r="D6" s="3" t="s">
        <v>11</v>
      </c>
      <c r="E6">
        <f t="shared" ref="E6:E9" si="0">COUNTIF($A$5:$B$29,D6)</f>
        <v>8</v>
      </c>
      <c r="F6">
        <f t="shared" ref="F6:F9" si="1">E6/$E$10</f>
        <v>0.16</v>
      </c>
      <c r="G6" s="5">
        <f t="shared" ref="G6:G10" si="2">E6/$E$10</f>
        <v>0.16</v>
      </c>
      <c r="H6" s="5"/>
    </row>
    <row r="7" spans="1:8" x14ac:dyDescent="0.25">
      <c r="A7" s="63" t="s">
        <v>13</v>
      </c>
      <c r="B7" s="63" t="s">
        <v>13</v>
      </c>
      <c r="D7" s="3" t="s">
        <v>14</v>
      </c>
      <c r="E7">
        <f t="shared" si="0"/>
        <v>5</v>
      </c>
      <c r="F7">
        <f t="shared" si="1"/>
        <v>0.1</v>
      </c>
      <c r="G7" s="5">
        <f t="shared" si="2"/>
        <v>0.1</v>
      </c>
      <c r="H7" s="5"/>
    </row>
    <row r="8" spans="1:8" x14ac:dyDescent="0.25">
      <c r="A8" s="63" t="s">
        <v>11</v>
      </c>
      <c r="B8" s="63" t="s">
        <v>10</v>
      </c>
      <c r="D8" s="3" t="s">
        <v>13</v>
      </c>
      <c r="E8">
        <f t="shared" si="0"/>
        <v>13</v>
      </c>
      <c r="F8">
        <f t="shared" si="1"/>
        <v>0.26</v>
      </c>
      <c r="G8" s="5">
        <f t="shared" si="2"/>
        <v>0.26</v>
      </c>
      <c r="H8" s="5"/>
    </row>
    <row r="9" spans="1:8" x14ac:dyDescent="0.25">
      <c r="A9" s="63" t="s">
        <v>10</v>
      </c>
      <c r="B9" s="63" t="s">
        <v>13</v>
      </c>
      <c r="D9" s="3" t="s">
        <v>12</v>
      </c>
      <c r="E9">
        <f t="shared" si="0"/>
        <v>5</v>
      </c>
      <c r="F9">
        <f t="shared" si="1"/>
        <v>0.1</v>
      </c>
      <c r="G9" s="5">
        <f t="shared" si="2"/>
        <v>0.1</v>
      </c>
      <c r="H9" s="5"/>
    </row>
    <row r="10" spans="1:8" x14ac:dyDescent="0.25">
      <c r="A10" s="63" t="s">
        <v>10</v>
      </c>
      <c r="B10" s="63" t="s">
        <v>12</v>
      </c>
      <c r="D10" s="2" t="s">
        <v>15</v>
      </c>
      <c r="E10">
        <f>SUM(E5:E9)</f>
        <v>50</v>
      </c>
      <c r="F10">
        <f>SUM(F5:F9)</f>
        <v>1</v>
      </c>
      <c r="G10" s="5">
        <f>SUM(G5:G9)</f>
        <v>1</v>
      </c>
    </row>
    <row r="11" spans="1:8" x14ac:dyDescent="0.25">
      <c r="A11" s="63" t="s">
        <v>14</v>
      </c>
      <c r="B11" s="63" t="s">
        <v>14</v>
      </c>
    </row>
    <row r="12" spans="1:8" x14ac:dyDescent="0.25">
      <c r="A12" s="63" t="s">
        <v>11</v>
      </c>
      <c r="B12" s="63" t="s">
        <v>13</v>
      </c>
    </row>
    <row r="13" spans="1:8" x14ac:dyDescent="0.25">
      <c r="A13" s="63" t="s">
        <v>13</v>
      </c>
      <c r="B13" s="63" t="s">
        <v>11</v>
      </c>
    </row>
    <row r="14" spans="1:8" x14ac:dyDescent="0.25">
      <c r="A14" s="63" t="s">
        <v>13</v>
      </c>
      <c r="B14" s="63" t="s">
        <v>13</v>
      </c>
    </row>
    <row r="15" spans="1:8" x14ac:dyDescent="0.25">
      <c r="A15" s="63" t="s">
        <v>10</v>
      </c>
      <c r="B15" s="63" t="s">
        <v>10</v>
      </c>
    </row>
    <row r="16" spans="1:8" x14ac:dyDescent="0.25">
      <c r="A16" s="63" t="s">
        <v>14</v>
      </c>
      <c r="B16" s="63" t="s">
        <v>10</v>
      </c>
    </row>
    <row r="17" spans="1:2" x14ac:dyDescent="0.25">
      <c r="A17" s="63" t="s">
        <v>12</v>
      </c>
      <c r="B17" s="63" t="s">
        <v>11</v>
      </c>
    </row>
    <row r="18" spans="1:2" x14ac:dyDescent="0.25">
      <c r="A18" s="63" t="s">
        <v>10</v>
      </c>
      <c r="B18" s="63" t="s">
        <v>13</v>
      </c>
    </row>
    <row r="19" spans="1:2" x14ac:dyDescent="0.25">
      <c r="A19" s="63" t="s">
        <v>11</v>
      </c>
      <c r="B19" s="63" t="s">
        <v>13</v>
      </c>
    </row>
    <row r="20" spans="1:2" x14ac:dyDescent="0.25">
      <c r="A20" s="63" t="s">
        <v>10</v>
      </c>
      <c r="B20" s="63" t="s">
        <v>13</v>
      </c>
    </row>
    <row r="21" spans="1:2" x14ac:dyDescent="0.25">
      <c r="A21" s="63" t="s">
        <v>10</v>
      </c>
      <c r="B21" s="63" t="s">
        <v>10</v>
      </c>
    </row>
    <row r="22" spans="1:2" x14ac:dyDescent="0.25">
      <c r="A22" s="63" t="s">
        <v>11</v>
      </c>
      <c r="B22" s="63" t="s">
        <v>14</v>
      </c>
    </row>
    <row r="23" spans="1:2" x14ac:dyDescent="0.25">
      <c r="A23" s="63" t="s">
        <v>10</v>
      </c>
      <c r="B23" s="63" t="s">
        <v>12</v>
      </c>
    </row>
    <row r="24" spans="1:2" x14ac:dyDescent="0.25">
      <c r="A24" s="63" t="s">
        <v>10</v>
      </c>
      <c r="B24" s="63" t="s">
        <v>10</v>
      </c>
    </row>
    <row r="25" spans="1:2" x14ac:dyDescent="0.25">
      <c r="A25" s="63" t="s">
        <v>10</v>
      </c>
      <c r="B25" s="63" t="s">
        <v>10</v>
      </c>
    </row>
    <row r="26" spans="1:2" x14ac:dyDescent="0.25">
      <c r="A26" s="63" t="s">
        <v>12</v>
      </c>
      <c r="B26" s="63" t="s">
        <v>13</v>
      </c>
    </row>
    <row r="27" spans="1:2" x14ac:dyDescent="0.25">
      <c r="A27" s="63" t="s">
        <v>10</v>
      </c>
      <c r="B27" s="63" t="s">
        <v>14</v>
      </c>
    </row>
    <row r="28" spans="1:2" x14ac:dyDescent="0.25">
      <c r="A28" s="63" t="s">
        <v>10</v>
      </c>
      <c r="B28" s="63" t="s">
        <v>13</v>
      </c>
    </row>
    <row r="29" spans="1:2" x14ac:dyDescent="0.25">
      <c r="A29" s="63" t="s">
        <v>11</v>
      </c>
      <c r="B29" s="63" t="s">
        <v>13</v>
      </c>
    </row>
  </sheetData>
  <mergeCells count="1">
    <mergeCell ref="A4:B4"/>
  </mergeCells>
  <pageMargins left="0.7" right="0.7" top="0.75" bottom="0.75" header="0.3" footer="0.3"/>
  <pageSetup scale="7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A256-49C1-4D90-B778-48F72488EA92}">
  <sheetPr>
    <tabColor rgb="FF92D050"/>
  </sheetPr>
  <dimension ref="A1:H701"/>
  <sheetViews>
    <sheetView zoomScaleNormal="100" workbookViewId="0">
      <selection activeCell="H22" sqref="H22"/>
    </sheetView>
  </sheetViews>
  <sheetFormatPr defaultRowHeight="15" x14ac:dyDescent="0.25"/>
  <cols>
    <col min="1" max="1" width="18.28515625" bestFit="1" customWidth="1"/>
    <col min="2" max="2" width="3.140625" customWidth="1"/>
    <col min="3" max="3" width="13.85546875" bestFit="1" customWidth="1"/>
    <col min="4" max="4" width="14" bestFit="1" customWidth="1"/>
    <col min="5" max="5" width="11.28515625" customWidth="1"/>
    <col min="6" max="6" width="9.140625" style="1" customWidth="1"/>
    <col min="7" max="7" width="17.5703125" style="6" customWidth="1"/>
    <col min="8" max="8" width="18.42578125" style="6" customWidth="1"/>
  </cols>
  <sheetData>
    <row r="1" spans="1:8" x14ac:dyDescent="0.25">
      <c r="A1" s="3" t="s">
        <v>4</v>
      </c>
      <c r="B1" s="3"/>
      <c r="C1" s="3" t="s">
        <v>1</v>
      </c>
      <c r="D1" s="3" t="s">
        <v>2</v>
      </c>
      <c r="E1" s="3" t="s">
        <v>0</v>
      </c>
      <c r="F1" s="3" t="s">
        <v>3</v>
      </c>
      <c r="G1" s="3" t="s">
        <v>5</v>
      </c>
      <c r="H1" s="3" t="s">
        <v>6</v>
      </c>
    </row>
    <row r="2" spans="1:8" x14ac:dyDescent="0.25">
      <c r="A2">
        <v>83</v>
      </c>
      <c r="C2">
        <v>0</v>
      </c>
      <c r="D2">
        <v>7</v>
      </c>
      <c r="E2" cm="1">
        <f t="array" ref="E2:E18">FREQUENCY(A2:A701,D2:D17)</f>
        <v>7</v>
      </c>
      <c r="F2" s="1" t="str">
        <f>_xlfn.CONCAT("[",C2,",",D2,"]")</f>
        <v>[0,7]</v>
      </c>
      <c r="G2" s="103">
        <f>E2/$E$19</f>
        <v>0.01</v>
      </c>
      <c r="H2" s="7">
        <f>E2/$E$19</f>
        <v>0.01</v>
      </c>
    </row>
    <row r="3" spans="1:8" x14ac:dyDescent="0.25">
      <c r="A3">
        <v>76</v>
      </c>
      <c r="C3">
        <v>7</v>
      </c>
      <c r="D3">
        <v>14</v>
      </c>
      <c r="E3">
        <v>1</v>
      </c>
      <c r="F3" s="1" t="str">
        <f t="shared" ref="F3:F17" si="0">_xlfn.CONCAT("[",C3,",",D3,"]")</f>
        <v>[7,14]</v>
      </c>
      <c r="G3" s="103">
        <f t="shared" ref="G3:G17" si="1">E3/$E$19</f>
        <v>1.4285714285714286E-3</v>
      </c>
      <c r="H3" s="7">
        <f t="shared" ref="H3:H17" si="2">E3/$E$19</f>
        <v>1.4285714285714286E-3</v>
      </c>
    </row>
    <row r="4" spans="1:8" x14ac:dyDescent="0.25">
      <c r="A4">
        <v>78</v>
      </c>
      <c r="C4">
        <v>14</v>
      </c>
      <c r="D4">
        <v>21</v>
      </c>
      <c r="E4">
        <v>6</v>
      </c>
      <c r="F4" s="1" t="str">
        <f t="shared" si="0"/>
        <v>[14,21]</v>
      </c>
      <c r="G4" s="103">
        <f t="shared" si="1"/>
        <v>8.5714285714285719E-3</v>
      </c>
      <c r="H4" s="7">
        <f t="shared" si="2"/>
        <v>8.5714285714285719E-3</v>
      </c>
    </row>
    <row r="5" spans="1:8" x14ac:dyDescent="0.25">
      <c r="A5">
        <v>74</v>
      </c>
      <c r="C5">
        <v>21</v>
      </c>
      <c r="D5">
        <v>28</v>
      </c>
      <c r="E5">
        <v>7</v>
      </c>
      <c r="F5" s="1" t="str">
        <f t="shared" si="0"/>
        <v>[21,28]</v>
      </c>
      <c r="G5" s="103">
        <f t="shared" si="1"/>
        <v>0.01</v>
      </c>
      <c r="H5" s="7">
        <f t="shared" si="2"/>
        <v>0.01</v>
      </c>
    </row>
    <row r="6" spans="1:8" x14ac:dyDescent="0.25">
      <c r="A6">
        <v>35</v>
      </c>
      <c r="C6">
        <v>28</v>
      </c>
      <c r="D6">
        <v>35</v>
      </c>
      <c r="E6">
        <v>10</v>
      </c>
      <c r="F6" s="1" t="str">
        <f t="shared" si="0"/>
        <v>[28,35]</v>
      </c>
      <c r="G6" s="103">
        <f t="shared" si="1"/>
        <v>1.4285714285714285E-2</v>
      </c>
      <c r="H6" s="7">
        <f t="shared" si="2"/>
        <v>1.4285714285714285E-2</v>
      </c>
    </row>
    <row r="7" spans="1:8" x14ac:dyDescent="0.25">
      <c r="A7">
        <v>78</v>
      </c>
      <c r="C7">
        <v>35</v>
      </c>
      <c r="D7">
        <v>42</v>
      </c>
      <c r="E7">
        <v>15</v>
      </c>
      <c r="F7" s="1" t="str">
        <f t="shared" si="0"/>
        <v>[35,42]</v>
      </c>
      <c r="G7" s="103">
        <f t="shared" si="1"/>
        <v>2.1428571428571429E-2</v>
      </c>
      <c r="H7" s="7">
        <f t="shared" si="2"/>
        <v>2.1428571428571429E-2</v>
      </c>
    </row>
    <row r="8" spans="1:8" x14ac:dyDescent="0.25">
      <c r="A8">
        <v>73</v>
      </c>
      <c r="C8">
        <v>42</v>
      </c>
      <c r="D8">
        <v>49</v>
      </c>
      <c r="E8">
        <v>16</v>
      </c>
      <c r="F8" s="1" t="str">
        <f t="shared" si="0"/>
        <v>[42,49]</v>
      </c>
      <c r="G8" s="103">
        <f t="shared" si="1"/>
        <v>2.2857142857142857E-2</v>
      </c>
      <c r="H8" s="7">
        <f t="shared" si="2"/>
        <v>2.2857142857142857E-2</v>
      </c>
    </row>
    <row r="9" spans="1:8" x14ac:dyDescent="0.25">
      <c r="A9">
        <v>84</v>
      </c>
      <c r="C9">
        <v>49</v>
      </c>
      <c r="D9">
        <v>56</v>
      </c>
      <c r="E9">
        <v>36</v>
      </c>
      <c r="F9" s="1" t="str">
        <f t="shared" si="0"/>
        <v>[49,56]</v>
      </c>
      <c r="G9" s="103">
        <f t="shared" si="1"/>
        <v>5.1428571428571428E-2</v>
      </c>
      <c r="H9" s="7">
        <f t="shared" si="2"/>
        <v>5.1428571428571428E-2</v>
      </c>
    </row>
    <row r="10" spans="1:8" x14ac:dyDescent="0.25">
      <c r="A10">
        <v>55</v>
      </c>
      <c r="C10">
        <v>56</v>
      </c>
      <c r="D10">
        <v>63</v>
      </c>
      <c r="E10">
        <v>56</v>
      </c>
      <c r="F10" s="1" t="str">
        <f t="shared" si="0"/>
        <v>[56,63]</v>
      </c>
      <c r="G10" s="103">
        <f t="shared" si="1"/>
        <v>0.08</v>
      </c>
      <c r="H10" s="7">
        <f t="shared" si="2"/>
        <v>0.08</v>
      </c>
    </row>
    <row r="11" spans="1:8" x14ac:dyDescent="0.25">
      <c r="A11">
        <v>73</v>
      </c>
      <c r="C11">
        <v>63</v>
      </c>
      <c r="D11">
        <v>70</v>
      </c>
      <c r="E11">
        <v>78</v>
      </c>
      <c r="F11" s="1" t="str">
        <f t="shared" si="0"/>
        <v>[63,70]</v>
      </c>
      <c r="G11" s="103">
        <f t="shared" si="1"/>
        <v>0.11142857142857143</v>
      </c>
      <c r="H11" s="7">
        <f t="shared" si="2"/>
        <v>0.11142857142857143</v>
      </c>
    </row>
    <row r="12" spans="1:8" x14ac:dyDescent="0.25">
      <c r="A12">
        <v>35</v>
      </c>
      <c r="C12">
        <v>70</v>
      </c>
      <c r="D12">
        <v>77</v>
      </c>
      <c r="E12">
        <v>115</v>
      </c>
      <c r="F12" s="1" t="str">
        <f t="shared" si="0"/>
        <v>[70,77]</v>
      </c>
      <c r="G12" s="103">
        <f t="shared" si="1"/>
        <v>0.16428571428571428</v>
      </c>
      <c r="H12" s="7">
        <f t="shared" si="2"/>
        <v>0.16428571428571428</v>
      </c>
    </row>
    <row r="13" spans="1:8" x14ac:dyDescent="0.25">
      <c r="A13">
        <v>78</v>
      </c>
      <c r="C13">
        <v>77</v>
      </c>
      <c r="D13">
        <v>84</v>
      </c>
      <c r="E13">
        <v>148</v>
      </c>
      <c r="F13" s="1" t="str">
        <f t="shared" si="0"/>
        <v>[77,84]</v>
      </c>
      <c r="G13" s="103">
        <f t="shared" si="1"/>
        <v>0.21142857142857144</v>
      </c>
      <c r="H13" s="7">
        <f t="shared" si="2"/>
        <v>0.21142857142857144</v>
      </c>
    </row>
    <row r="14" spans="1:8" x14ac:dyDescent="0.25">
      <c r="A14">
        <v>65</v>
      </c>
      <c r="C14">
        <v>84</v>
      </c>
      <c r="D14">
        <v>91</v>
      </c>
      <c r="E14">
        <v>142</v>
      </c>
      <c r="F14" s="1" t="str">
        <f t="shared" si="0"/>
        <v>[84,91]</v>
      </c>
      <c r="G14" s="103">
        <f t="shared" si="1"/>
        <v>0.20285714285714285</v>
      </c>
      <c r="H14" s="7">
        <f t="shared" si="2"/>
        <v>0.20285714285714285</v>
      </c>
    </row>
    <row r="15" spans="1:8" x14ac:dyDescent="0.25">
      <c r="A15">
        <v>81</v>
      </c>
      <c r="C15">
        <v>91</v>
      </c>
      <c r="D15">
        <v>98</v>
      </c>
      <c r="E15">
        <v>58</v>
      </c>
      <c r="F15" s="1" t="str">
        <f t="shared" si="0"/>
        <v>[91,98]</v>
      </c>
      <c r="G15" s="103">
        <f t="shared" si="1"/>
        <v>8.2857142857142851E-2</v>
      </c>
      <c r="H15" s="7">
        <f t="shared" si="2"/>
        <v>8.2857142857142851E-2</v>
      </c>
    </row>
    <row r="16" spans="1:8" x14ac:dyDescent="0.25">
      <c r="A16">
        <v>109</v>
      </c>
      <c r="C16">
        <v>98</v>
      </c>
      <c r="D16">
        <v>105</v>
      </c>
      <c r="E16">
        <v>3</v>
      </c>
      <c r="F16" s="1" t="str">
        <f t="shared" si="0"/>
        <v>[98,105]</v>
      </c>
      <c r="G16" s="103">
        <f t="shared" si="1"/>
        <v>4.2857142857142859E-3</v>
      </c>
      <c r="H16" s="7">
        <f t="shared" si="2"/>
        <v>4.2857142857142859E-3</v>
      </c>
    </row>
    <row r="17" spans="1:8" x14ac:dyDescent="0.25">
      <c r="A17">
        <v>91</v>
      </c>
      <c r="C17">
        <v>105</v>
      </c>
      <c r="D17">
        <v>112</v>
      </c>
      <c r="E17">
        <v>2</v>
      </c>
      <c r="F17" s="1" t="str">
        <f t="shared" si="0"/>
        <v>[105,112]</v>
      </c>
      <c r="G17" s="103">
        <f t="shared" si="1"/>
        <v>2.8571428571428571E-3</v>
      </c>
      <c r="H17" s="7">
        <f t="shared" si="2"/>
        <v>2.8571428571428571E-3</v>
      </c>
    </row>
    <row r="18" spans="1:8" x14ac:dyDescent="0.25">
      <c r="A18">
        <v>87</v>
      </c>
      <c r="E18">
        <v>0</v>
      </c>
      <c r="H18" s="8"/>
    </row>
    <row r="19" spans="1:8" x14ac:dyDescent="0.25">
      <c r="A19">
        <v>76</v>
      </c>
      <c r="E19">
        <f>SUM(E2:E17)</f>
        <v>700</v>
      </c>
    </row>
    <row r="20" spans="1:8" x14ac:dyDescent="0.25">
      <c r="A20">
        <v>80</v>
      </c>
    </row>
    <row r="21" spans="1:8" x14ac:dyDescent="0.25">
      <c r="A21">
        <v>78</v>
      </c>
    </row>
    <row r="22" spans="1:8" x14ac:dyDescent="0.25">
      <c r="A22">
        <v>85</v>
      </c>
    </row>
    <row r="23" spans="1:8" x14ac:dyDescent="0.25">
      <c r="A23">
        <v>81</v>
      </c>
    </row>
    <row r="24" spans="1:8" x14ac:dyDescent="0.25">
      <c r="A24">
        <v>73</v>
      </c>
    </row>
    <row r="25" spans="1:8" x14ac:dyDescent="0.25">
      <c r="A25">
        <v>42</v>
      </c>
    </row>
    <row r="26" spans="1:8" x14ac:dyDescent="0.25">
      <c r="A26">
        <v>53</v>
      </c>
    </row>
    <row r="27" spans="1:8" x14ac:dyDescent="0.25">
      <c r="A27">
        <v>54</v>
      </c>
    </row>
    <row r="28" spans="1:8" x14ac:dyDescent="0.25">
      <c r="A28">
        <v>98</v>
      </c>
    </row>
    <row r="29" spans="1:8" x14ac:dyDescent="0.25">
      <c r="A29">
        <v>50</v>
      </c>
    </row>
    <row r="30" spans="1:8" x14ac:dyDescent="0.25">
      <c r="A30">
        <v>85</v>
      </c>
    </row>
    <row r="31" spans="1:8" x14ac:dyDescent="0.25">
      <c r="A31">
        <v>77</v>
      </c>
    </row>
    <row r="32" spans="1:8" x14ac:dyDescent="0.25">
      <c r="A32">
        <v>81</v>
      </c>
    </row>
    <row r="33" spans="1:1" x14ac:dyDescent="0.25">
      <c r="A33">
        <v>89</v>
      </c>
    </row>
    <row r="34" spans="1:1" x14ac:dyDescent="0.25">
      <c r="A34">
        <v>67</v>
      </c>
    </row>
    <row r="35" spans="1:1" x14ac:dyDescent="0.25">
      <c r="A35">
        <v>84</v>
      </c>
    </row>
    <row r="36" spans="1:1" x14ac:dyDescent="0.25">
      <c r="A36">
        <v>75</v>
      </c>
    </row>
    <row r="37" spans="1:1" x14ac:dyDescent="0.25">
      <c r="A37">
        <v>75</v>
      </c>
    </row>
    <row r="38" spans="1:1" x14ac:dyDescent="0.25">
      <c r="A38">
        <v>60</v>
      </c>
    </row>
    <row r="39" spans="1:1" x14ac:dyDescent="0.25">
      <c r="A39">
        <v>76</v>
      </c>
    </row>
    <row r="40" spans="1:1" x14ac:dyDescent="0.25">
      <c r="A40">
        <v>65</v>
      </c>
    </row>
    <row r="41" spans="1:1" x14ac:dyDescent="0.25">
      <c r="A41">
        <v>80</v>
      </c>
    </row>
    <row r="42" spans="1:1" x14ac:dyDescent="0.25">
      <c r="A42">
        <v>86</v>
      </c>
    </row>
    <row r="43" spans="1:1" x14ac:dyDescent="0.25">
      <c r="A43">
        <v>5</v>
      </c>
    </row>
    <row r="44" spans="1:1" x14ac:dyDescent="0.25">
      <c r="A44">
        <v>86</v>
      </c>
    </row>
    <row r="45" spans="1:1" x14ac:dyDescent="0.25">
      <c r="A45">
        <v>60</v>
      </c>
    </row>
    <row r="46" spans="1:1" x14ac:dyDescent="0.25">
      <c r="A46">
        <v>86</v>
      </c>
    </row>
    <row r="47" spans="1:1" x14ac:dyDescent="0.25">
      <c r="A47">
        <v>84</v>
      </c>
    </row>
    <row r="48" spans="1:1" x14ac:dyDescent="0.25">
      <c r="A48">
        <v>85</v>
      </c>
    </row>
    <row r="49" spans="1:1" x14ac:dyDescent="0.25">
      <c r="A49">
        <v>78</v>
      </c>
    </row>
    <row r="50" spans="1:1" x14ac:dyDescent="0.25">
      <c r="A50">
        <v>77</v>
      </c>
    </row>
    <row r="51" spans="1:1" x14ac:dyDescent="0.25">
      <c r="A51">
        <v>74</v>
      </c>
    </row>
    <row r="52" spans="1:1" x14ac:dyDescent="0.25">
      <c r="A52">
        <v>60</v>
      </c>
    </row>
    <row r="53" spans="1:1" x14ac:dyDescent="0.25">
      <c r="A53">
        <v>1</v>
      </c>
    </row>
    <row r="54" spans="1:1" x14ac:dyDescent="0.25">
      <c r="A54">
        <v>84</v>
      </c>
    </row>
    <row r="55" spans="1:1" x14ac:dyDescent="0.25">
      <c r="A55">
        <v>73</v>
      </c>
    </row>
    <row r="56" spans="1:1" x14ac:dyDescent="0.25">
      <c r="A56">
        <v>84</v>
      </c>
    </row>
    <row r="57" spans="1:1" x14ac:dyDescent="0.25">
      <c r="A57">
        <v>64</v>
      </c>
    </row>
    <row r="58" spans="1:1" x14ac:dyDescent="0.25">
      <c r="A58">
        <v>70</v>
      </c>
    </row>
    <row r="59" spans="1:1" x14ac:dyDescent="0.25">
      <c r="A59">
        <v>80</v>
      </c>
    </row>
    <row r="60" spans="1:1" x14ac:dyDescent="0.25">
      <c r="A60">
        <v>89</v>
      </c>
    </row>
    <row r="61" spans="1:1" x14ac:dyDescent="0.25">
      <c r="A61">
        <v>97</v>
      </c>
    </row>
    <row r="62" spans="1:1" x14ac:dyDescent="0.25">
      <c r="A62">
        <v>82</v>
      </c>
    </row>
    <row r="63" spans="1:1" x14ac:dyDescent="0.25">
      <c r="A63">
        <v>94</v>
      </c>
    </row>
    <row r="64" spans="1:1" x14ac:dyDescent="0.25">
      <c r="A64">
        <v>93</v>
      </c>
    </row>
    <row r="65" spans="1:1" x14ac:dyDescent="0.25">
      <c r="A65">
        <v>80</v>
      </c>
    </row>
    <row r="66" spans="1:1" x14ac:dyDescent="0.25">
      <c r="A66">
        <v>92</v>
      </c>
    </row>
    <row r="67" spans="1:1" x14ac:dyDescent="0.25">
      <c r="A67">
        <v>72</v>
      </c>
    </row>
    <row r="68" spans="1:1" x14ac:dyDescent="0.25">
      <c r="A68">
        <v>92</v>
      </c>
    </row>
    <row r="69" spans="1:1" x14ac:dyDescent="0.25">
      <c r="A69">
        <v>82</v>
      </c>
    </row>
    <row r="70" spans="1:1" x14ac:dyDescent="0.25">
      <c r="A70">
        <v>84</v>
      </c>
    </row>
    <row r="71" spans="1:1" x14ac:dyDescent="0.25">
      <c r="A71">
        <v>29</v>
      </c>
    </row>
    <row r="72" spans="1:1" x14ac:dyDescent="0.25">
      <c r="A72">
        <v>85</v>
      </c>
    </row>
    <row r="73" spans="1:1" x14ac:dyDescent="0.25">
      <c r="A73">
        <v>64</v>
      </c>
    </row>
    <row r="74" spans="1:1" x14ac:dyDescent="0.25">
      <c r="A74">
        <v>75</v>
      </c>
    </row>
    <row r="75" spans="1:1" x14ac:dyDescent="0.25">
      <c r="A75">
        <v>83</v>
      </c>
    </row>
    <row r="76" spans="1:1" x14ac:dyDescent="0.25">
      <c r="A76">
        <v>86</v>
      </c>
    </row>
    <row r="77" spans="1:1" x14ac:dyDescent="0.25">
      <c r="A77">
        <v>93</v>
      </c>
    </row>
    <row r="78" spans="1:1" x14ac:dyDescent="0.25">
      <c r="A78">
        <v>87</v>
      </c>
    </row>
    <row r="79" spans="1:1" x14ac:dyDescent="0.25">
      <c r="A79">
        <v>85</v>
      </c>
    </row>
    <row r="80" spans="1:1" x14ac:dyDescent="0.25">
      <c r="A80">
        <v>98</v>
      </c>
    </row>
    <row r="81" spans="1:1" x14ac:dyDescent="0.25">
      <c r="A81">
        <v>82</v>
      </c>
    </row>
    <row r="82" spans="1:1" x14ac:dyDescent="0.25">
      <c r="A82">
        <v>80</v>
      </c>
    </row>
    <row r="83" spans="1:1" x14ac:dyDescent="0.25">
      <c r="A83">
        <v>83</v>
      </c>
    </row>
    <row r="84" spans="1:1" x14ac:dyDescent="0.25">
      <c r="A84">
        <v>60</v>
      </c>
    </row>
    <row r="85" spans="1:1" x14ac:dyDescent="0.25">
      <c r="A85">
        <v>56</v>
      </c>
    </row>
    <row r="86" spans="1:1" x14ac:dyDescent="0.25">
      <c r="A86">
        <v>73</v>
      </c>
    </row>
    <row r="87" spans="1:1" x14ac:dyDescent="0.25">
      <c r="A87">
        <v>85</v>
      </c>
    </row>
    <row r="88" spans="1:1" x14ac:dyDescent="0.25">
      <c r="A88">
        <v>86</v>
      </c>
    </row>
    <row r="89" spans="1:1" x14ac:dyDescent="0.25">
      <c r="A89">
        <v>71</v>
      </c>
    </row>
    <row r="90" spans="1:1" x14ac:dyDescent="0.25">
      <c r="A90">
        <v>79</v>
      </c>
    </row>
    <row r="91" spans="1:1" x14ac:dyDescent="0.25">
      <c r="A91">
        <v>89</v>
      </c>
    </row>
    <row r="92" spans="1:1" x14ac:dyDescent="0.25">
      <c r="A92">
        <v>77</v>
      </c>
    </row>
    <row r="93" spans="1:1" x14ac:dyDescent="0.25">
      <c r="A93">
        <v>57</v>
      </c>
    </row>
    <row r="94" spans="1:1" x14ac:dyDescent="0.25">
      <c r="A94">
        <v>77</v>
      </c>
    </row>
    <row r="95" spans="1:1" x14ac:dyDescent="0.25">
      <c r="A95">
        <v>91</v>
      </c>
    </row>
    <row r="96" spans="1:1" x14ac:dyDescent="0.25">
      <c r="A96">
        <v>80</v>
      </c>
    </row>
    <row r="97" spans="1:1" x14ac:dyDescent="0.25">
      <c r="A97">
        <v>88</v>
      </c>
    </row>
    <row r="98" spans="1:1" x14ac:dyDescent="0.25">
      <c r="A98">
        <v>86</v>
      </c>
    </row>
    <row r="99" spans="1:1" x14ac:dyDescent="0.25">
      <c r="A99">
        <v>84</v>
      </c>
    </row>
    <row r="100" spans="1:1" x14ac:dyDescent="0.25">
      <c r="A100">
        <v>88</v>
      </c>
    </row>
    <row r="101" spans="1:1" x14ac:dyDescent="0.25">
      <c r="A101">
        <v>86</v>
      </c>
    </row>
    <row r="102" spans="1:1" x14ac:dyDescent="0.25">
      <c r="A102">
        <v>54</v>
      </c>
    </row>
    <row r="103" spans="1:1" x14ac:dyDescent="0.25">
      <c r="A103">
        <v>45</v>
      </c>
    </row>
    <row r="104" spans="1:1" x14ac:dyDescent="0.25">
      <c r="A104">
        <v>94</v>
      </c>
    </row>
    <row r="105" spans="1:1" x14ac:dyDescent="0.25">
      <c r="A105">
        <v>62</v>
      </c>
    </row>
    <row r="106" spans="1:1" x14ac:dyDescent="0.25">
      <c r="A106">
        <v>58</v>
      </c>
    </row>
    <row r="107" spans="1:1" x14ac:dyDescent="0.25">
      <c r="A107">
        <v>68</v>
      </c>
    </row>
    <row r="108" spans="1:1" x14ac:dyDescent="0.25">
      <c r="A108">
        <v>86</v>
      </c>
    </row>
    <row r="109" spans="1:1" x14ac:dyDescent="0.25">
      <c r="A109">
        <v>86</v>
      </c>
    </row>
    <row r="110" spans="1:1" x14ac:dyDescent="0.25">
      <c r="A110">
        <v>75</v>
      </c>
    </row>
    <row r="111" spans="1:1" x14ac:dyDescent="0.25">
      <c r="A111">
        <v>72</v>
      </c>
    </row>
    <row r="112" spans="1:1" x14ac:dyDescent="0.25">
      <c r="A112">
        <v>88</v>
      </c>
    </row>
    <row r="113" spans="1:1" x14ac:dyDescent="0.25">
      <c r="A113">
        <v>66</v>
      </c>
    </row>
    <row r="114" spans="1:1" x14ac:dyDescent="0.25">
      <c r="A114">
        <v>63</v>
      </c>
    </row>
    <row r="115" spans="1:1" x14ac:dyDescent="0.25">
      <c r="A115">
        <v>66</v>
      </c>
    </row>
    <row r="116" spans="1:1" x14ac:dyDescent="0.25">
      <c r="A116">
        <v>71</v>
      </c>
    </row>
    <row r="117" spans="1:1" x14ac:dyDescent="0.25">
      <c r="A117">
        <v>85</v>
      </c>
    </row>
    <row r="118" spans="1:1" x14ac:dyDescent="0.25">
      <c r="A118">
        <v>80</v>
      </c>
    </row>
    <row r="119" spans="1:1" x14ac:dyDescent="0.25">
      <c r="A119">
        <v>91</v>
      </c>
    </row>
    <row r="120" spans="1:1" x14ac:dyDescent="0.25">
      <c r="A120">
        <v>86</v>
      </c>
    </row>
    <row r="121" spans="1:1" x14ac:dyDescent="0.25">
      <c r="A121">
        <v>41</v>
      </c>
    </row>
    <row r="122" spans="1:1" x14ac:dyDescent="0.25">
      <c r="A122">
        <v>80</v>
      </c>
    </row>
    <row r="123" spans="1:1" x14ac:dyDescent="0.25">
      <c r="A123">
        <v>79</v>
      </c>
    </row>
    <row r="124" spans="1:1" x14ac:dyDescent="0.25">
      <c r="A124">
        <v>73</v>
      </c>
    </row>
    <row r="125" spans="1:1" x14ac:dyDescent="0.25">
      <c r="A125">
        <v>73</v>
      </c>
    </row>
    <row r="126" spans="1:1" x14ac:dyDescent="0.25">
      <c r="A126">
        <v>94</v>
      </c>
    </row>
    <row r="127" spans="1:1" x14ac:dyDescent="0.25">
      <c r="A127">
        <v>73</v>
      </c>
    </row>
    <row r="128" spans="1:1" x14ac:dyDescent="0.25">
      <c r="A128">
        <v>75</v>
      </c>
    </row>
    <row r="129" spans="1:1" x14ac:dyDescent="0.25">
      <c r="A129">
        <v>32</v>
      </c>
    </row>
    <row r="130" spans="1:1" x14ac:dyDescent="0.25">
      <c r="A130">
        <v>27</v>
      </c>
    </row>
    <row r="131" spans="1:1" x14ac:dyDescent="0.25">
      <c r="A131">
        <v>60</v>
      </c>
    </row>
    <row r="132" spans="1:1" x14ac:dyDescent="0.25">
      <c r="A132">
        <v>60</v>
      </c>
    </row>
    <row r="133" spans="1:1" x14ac:dyDescent="0.25">
      <c r="A133">
        <v>54</v>
      </c>
    </row>
    <row r="134" spans="1:1" x14ac:dyDescent="0.25">
      <c r="A134">
        <v>81</v>
      </c>
    </row>
    <row r="135" spans="1:1" x14ac:dyDescent="0.25">
      <c r="A135">
        <v>88</v>
      </c>
    </row>
    <row r="136" spans="1:1" x14ac:dyDescent="0.25">
      <c r="A136">
        <v>75</v>
      </c>
    </row>
    <row r="137" spans="1:1" x14ac:dyDescent="0.25">
      <c r="A137">
        <v>21</v>
      </c>
    </row>
    <row r="138" spans="1:1" x14ac:dyDescent="0.25">
      <c r="A138">
        <v>46</v>
      </c>
    </row>
    <row r="139" spans="1:1" x14ac:dyDescent="0.25">
      <c r="A139">
        <v>82</v>
      </c>
    </row>
    <row r="140" spans="1:1" x14ac:dyDescent="0.25">
      <c r="A140">
        <v>74</v>
      </c>
    </row>
    <row r="141" spans="1:1" x14ac:dyDescent="0.25">
      <c r="A141">
        <v>75</v>
      </c>
    </row>
    <row r="142" spans="1:1" x14ac:dyDescent="0.25">
      <c r="A142">
        <v>87</v>
      </c>
    </row>
    <row r="143" spans="1:1" x14ac:dyDescent="0.25">
      <c r="A143">
        <v>67</v>
      </c>
    </row>
    <row r="144" spans="1:1" x14ac:dyDescent="0.25">
      <c r="A144">
        <v>70</v>
      </c>
    </row>
    <row r="145" spans="1:1" x14ac:dyDescent="0.25">
      <c r="A145">
        <v>61</v>
      </c>
    </row>
    <row r="146" spans="1:1" x14ac:dyDescent="0.25">
      <c r="A146">
        <v>83</v>
      </c>
    </row>
    <row r="147" spans="1:1" x14ac:dyDescent="0.25">
      <c r="A147">
        <v>77</v>
      </c>
    </row>
    <row r="148" spans="1:1" x14ac:dyDescent="0.25">
      <c r="A148">
        <v>17</v>
      </c>
    </row>
    <row r="149" spans="1:1" x14ac:dyDescent="0.25">
      <c r="A149">
        <v>93</v>
      </c>
    </row>
    <row r="150" spans="1:1" x14ac:dyDescent="0.25">
      <c r="A150">
        <v>56</v>
      </c>
    </row>
    <row r="151" spans="1:1" x14ac:dyDescent="0.25">
      <c r="A151">
        <v>80</v>
      </c>
    </row>
    <row r="152" spans="1:1" x14ac:dyDescent="0.25">
      <c r="A152">
        <v>30</v>
      </c>
    </row>
    <row r="153" spans="1:1" x14ac:dyDescent="0.25">
      <c r="A153">
        <v>87</v>
      </c>
    </row>
    <row r="154" spans="1:1" x14ac:dyDescent="0.25">
      <c r="A154">
        <v>53</v>
      </c>
    </row>
    <row r="155" spans="1:1" x14ac:dyDescent="0.25">
      <c r="A155">
        <v>77</v>
      </c>
    </row>
    <row r="156" spans="1:1" x14ac:dyDescent="0.25">
      <c r="A156">
        <v>81</v>
      </c>
    </row>
    <row r="157" spans="1:1" x14ac:dyDescent="0.25">
      <c r="A157">
        <v>86</v>
      </c>
    </row>
    <row r="158" spans="1:1" x14ac:dyDescent="0.25">
      <c r="A158">
        <v>85</v>
      </c>
    </row>
    <row r="159" spans="1:1" x14ac:dyDescent="0.25">
      <c r="A159">
        <v>52</v>
      </c>
    </row>
    <row r="160" spans="1:1" x14ac:dyDescent="0.25">
      <c r="A160">
        <v>84</v>
      </c>
    </row>
    <row r="161" spans="1:1" x14ac:dyDescent="0.25">
      <c r="A161">
        <v>90</v>
      </c>
    </row>
    <row r="162" spans="1:1" x14ac:dyDescent="0.25">
      <c r="A162">
        <v>26</v>
      </c>
    </row>
    <row r="163" spans="1:1" x14ac:dyDescent="0.25">
      <c r="A163">
        <v>67</v>
      </c>
    </row>
    <row r="164" spans="1:1" x14ac:dyDescent="0.25">
      <c r="A164">
        <v>86</v>
      </c>
    </row>
    <row r="165" spans="1:1" x14ac:dyDescent="0.25">
      <c r="A165">
        <v>83</v>
      </c>
    </row>
    <row r="166" spans="1:1" x14ac:dyDescent="0.25">
      <c r="A166">
        <v>89</v>
      </c>
    </row>
    <row r="167" spans="1:1" x14ac:dyDescent="0.25">
      <c r="A167">
        <v>84</v>
      </c>
    </row>
    <row r="168" spans="1:1" x14ac:dyDescent="0.25">
      <c r="A168">
        <v>66</v>
      </c>
    </row>
    <row r="169" spans="1:1" x14ac:dyDescent="0.25">
      <c r="A169">
        <v>90</v>
      </c>
    </row>
    <row r="170" spans="1:1" x14ac:dyDescent="0.25">
      <c r="A170">
        <v>96</v>
      </c>
    </row>
    <row r="171" spans="1:1" x14ac:dyDescent="0.25">
      <c r="A171">
        <v>49</v>
      </c>
    </row>
    <row r="172" spans="1:1" x14ac:dyDescent="0.25">
      <c r="A172">
        <v>40</v>
      </c>
    </row>
    <row r="173" spans="1:1" x14ac:dyDescent="0.25">
      <c r="A173">
        <v>55</v>
      </c>
    </row>
    <row r="174" spans="1:1" x14ac:dyDescent="0.25">
      <c r="A174">
        <v>75</v>
      </c>
    </row>
    <row r="175" spans="1:1" x14ac:dyDescent="0.25">
      <c r="A175">
        <v>75</v>
      </c>
    </row>
    <row r="176" spans="1:1" x14ac:dyDescent="0.25">
      <c r="A176">
        <v>24</v>
      </c>
    </row>
    <row r="177" spans="1:1" x14ac:dyDescent="0.25">
      <c r="A177">
        <v>83</v>
      </c>
    </row>
    <row r="178" spans="1:1" x14ac:dyDescent="0.25">
      <c r="A178">
        <v>78</v>
      </c>
    </row>
    <row r="179" spans="1:1" x14ac:dyDescent="0.25">
      <c r="A179">
        <v>99</v>
      </c>
    </row>
    <row r="180" spans="1:1" x14ac:dyDescent="0.25">
      <c r="A180">
        <v>92</v>
      </c>
    </row>
    <row r="181" spans="1:1" x14ac:dyDescent="0.25">
      <c r="A181">
        <v>36</v>
      </c>
    </row>
    <row r="182" spans="1:1" x14ac:dyDescent="0.25">
      <c r="A182">
        <v>34</v>
      </c>
    </row>
    <row r="183" spans="1:1" x14ac:dyDescent="0.25">
      <c r="A183">
        <v>98</v>
      </c>
    </row>
    <row r="184" spans="1:1" x14ac:dyDescent="0.25">
      <c r="A184">
        <v>87</v>
      </c>
    </row>
    <row r="185" spans="1:1" x14ac:dyDescent="0.25">
      <c r="A185">
        <v>80</v>
      </c>
    </row>
    <row r="186" spans="1:1" x14ac:dyDescent="0.25">
      <c r="A186">
        <v>76</v>
      </c>
    </row>
    <row r="187" spans="1:1" x14ac:dyDescent="0.25">
      <c r="A187">
        <v>87</v>
      </c>
    </row>
    <row r="188" spans="1:1" x14ac:dyDescent="0.25">
      <c r="A188">
        <v>59</v>
      </c>
    </row>
    <row r="189" spans="1:1" x14ac:dyDescent="0.25">
      <c r="A189">
        <v>40</v>
      </c>
    </row>
    <row r="190" spans="1:1" x14ac:dyDescent="0.25">
      <c r="A190">
        <v>82</v>
      </c>
    </row>
    <row r="191" spans="1:1" x14ac:dyDescent="0.25">
      <c r="A191">
        <v>62</v>
      </c>
    </row>
    <row r="192" spans="1:1" x14ac:dyDescent="0.25">
      <c r="A192">
        <v>66</v>
      </c>
    </row>
    <row r="193" spans="1:1" x14ac:dyDescent="0.25">
      <c r="A193">
        <v>92</v>
      </c>
    </row>
    <row r="194" spans="1:1" x14ac:dyDescent="0.25">
      <c r="A194">
        <v>59</v>
      </c>
    </row>
    <row r="195" spans="1:1" x14ac:dyDescent="0.25">
      <c r="A195">
        <v>74</v>
      </c>
    </row>
    <row r="196" spans="1:1" x14ac:dyDescent="0.25">
      <c r="A196">
        <v>90</v>
      </c>
    </row>
    <row r="197" spans="1:1" x14ac:dyDescent="0.25">
      <c r="A197">
        <v>51</v>
      </c>
    </row>
    <row r="198" spans="1:1" x14ac:dyDescent="0.25">
      <c r="A198">
        <v>79</v>
      </c>
    </row>
    <row r="199" spans="1:1" x14ac:dyDescent="0.25">
      <c r="A199">
        <v>52</v>
      </c>
    </row>
    <row r="200" spans="1:1" x14ac:dyDescent="0.25">
      <c r="A200">
        <v>87</v>
      </c>
    </row>
    <row r="201" spans="1:1" x14ac:dyDescent="0.25">
      <c r="A201">
        <v>58</v>
      </c>
    </row>
    <row r="202" spans="1:1" x14ac:dyDescent="0.25">
      <c r="A202">
        <v>85</v>
      </c>
    </row>
    <row r="203" spans="1:1" x14ac:dyDescent="0.25">
      <c r="A203">
        <v>93</v>
      </c>
    </row>
    <row r="204" spans="1:1" x14ac:dyDescent="0.25">
      <c r="A204">
        <v>68</v>
      </c>
    </row>
    <row r="205" spans="1:1" x14ac:dyDescent="0.25">
      <c r="A205">
        <v>65</v>
      </c>
    </row>
    <row r="206" spans="1:1" x14ac:dyDescent="0.25">
      <c r="A206">
        <v>74</v>
      </c>
    </row>
    <row r="207" spans="1:1" x14ac:dyDescent="0.25">
      <c r="A207">
        <v>74</v>
      </c>
    </row>
    <row r="208" spans="1:1" x14ac:dyDescent="0.25">
      <c r="A208">
        <v>75</v>
      </c>
    </row>
    <row r="209" spans="1:1" x14ac:dyDescent="0.25">
      <c r="A209">
        <v>94</v>
      </c>
    </row>
    <row r="210" spans="1:1" x14ac:dyDescent="0.25">
      <c r="A210">
        <v>75</v>
      </c>
    </row>
    <row r="211" spans="1:1" x14ac:dyDescent="0.25">
      <c r="A211">
        <v>74</v>
      </c>
    </row>
    <row r="212" spans="1:1" x14ac:dyDescent="0.25">
      <c r="A212">
        <v>89</v>
      </c>
    </row>
    <row r="213" spans="1:1" x14ac:dyDescent="0.25">
      <c r="A213">
        <v>67</v>
      </c>
    </row>
    <row r="214" spans="1:1" x14ac:dyDescent="0.25">
      <c r="A214">
        <v>91</v>
      </c>
    </row>
    <row r="215" spans="1:1" x14ac:dyDescent="0.25">
      <c r="A215">
        <v>90</v>
      </c>
    </row>
    <row r="216" spans="1:1" x14ac:dyDescent="0.25">
      <c r="A216">
        <v>80</v>
      </c>
    </row>
    <row r="217" spans="1:1" x14ac:dyDescent="0.25">
      <c r="A217">
        <v>36</v>
      </c>
    </row>
    <row r="218" spans="1:1" x14ac:dyDescent="0.25">
      <c r="A218">
        <v>83</v>
      </c>
    </row>
    <row r="219" spans="1:1" x14ac:dyDescent="0.25">
      <c r="A219">
        <v>81</v>
      </c>
    </row>
    <row r="220" spans="1:1" x14ac:dyDescent="0.25">
      <c r="A220">
        <v>77</v>
      </c>
    </row>
    <row r="221" spans="1:1" x14ac:dyDescent="0.25">
      <c r="A221">
        <v>49</v>
      </c>
    </row>
    <row r="222" spans="1:1" x14ac:dyDescent="0.25">
      <c r="A222">
        <v>84</v>
      </c>
    </row>
    <row r="223" spans="1:1" x14ac:dyDescent="0.25">
      <c r="A223">
        <v>68</v>
      </c>
    </row>
    <row r="224" spans="1:1" x14ac:dyDescent="0.25">
      <c r="A224">
        <v>80</v>
      </c>
    </row>
    <row r="225" spans="1:1" x14ac:dyDescent="0.25">
      <c r="A225">
        <v>87</v>
      </c>
    </row>
    <row r="226" spans="1:1" x14ac:dyDescent="0.25">
      <c r="A226">
        <v>83</v>
      </c>
    </row>
    <row r="227" spans="1:1" x14ac:dyDescent="0.25">
      <c r="A227">
        <v>109</v>
      </c>
    </row>
    <row r="228" spans="1:1" x14ac:dyDescent="0.25">
      <c r="A228">
        <v>65</v>
      </c>
    </row>
    <row r="229" spans="1:1" x14ac:dyDescent="0.25">
      <c r="A229">
        <v>84</v>
      </c>
    </row>
    <row r="230" spans="1:1" x14ac:dyDescent="0.25">
      <c r="A230">
        <v>70</v>
      </c>
    </row>
    <row r="231" spans="1:1" x14ac:dyDescent="0.25">
      <c r="A231">
        <v>73</v>
      </c>
    </row>
    <row r="232" spans="1:1" x14ac:dyDescent="0.25">
      <c r="A232">
        <v>88</v>
      </c>
    </row>
    <row r="233" spans="1:1" x14ac:dyDescent="0.25">
      <c r="A233">
        <v>82</v>
      </c>
    </row>
    <row r="234" spans="1:1" x14ac:dyDescent="0.25">
      <c r="A234">
        <v>77</v>
      </c>
    </row>
    <row r="235" spans="1:1" x14ac:dyDescent="0.25">
      <c r="A235">
        <v>95</v>
      </c>
    </row>
    <row r="236" spans="1:1" x14ac:dyDescent="0.25">
      <c r="A236">
        <v>85</v>
      </c>
    </row>
    <row r="237" spans="1:1" x14ac:dyDescent="0.25">
      <c r="A237">
        <v>61</v>
      </c>
    </row>
    <row r="238" spans="1:1" x14ac:dyDescent="0.25">
      <c r="A238">
        <v>73</v>
      </c>
    </row>
    <row r="239" spans="1:1" x14ac:dyDescent="0.25">
      <c r="A239">
        <v>90</v>
      </c>
    </row>
    <row r="240" spans="1:1" x14ac:dyDescent="0.25">
      <c r="A240">
        <v>74</v>
      </c>
    </row>
    <row r="241" spans="1:1" x14ac:dyDescent="0.25">
      <c r="A241">
        <v>57</v>
      </c>
    </row>
    <row r="242" spans="1:1" x14ac:dyDescent="0.25">
      <c r="A242">
        <v>88</v>
      </c>
    </row>
    <row r="243" spans="1:1" x14ac:dyDescent="0.25">
      <c r="A243">
        <v>84</v>
      </c>
    </row>
    <row r="244" spans="1:1" x14ac:dyDescent="0.25">
      <c r="A244">
        <v>74</v>
      </c>
    </row>
    <row r="245" spans="1:1" x14ac:dyDescent="0.25">
      <c r="A245">
        <v>75</v>
      </c>
    </row>
    <row r="246" spans="1:1" x14ac:dyDescent="0.25">
      <c r="A246">
        <v>72</v>
      </c>
    </row>
    <row r="247" spans="1:1" x14ac:dyDescent="0.25">
      <c r="A247">
        <v>79</v>
      </c>
    </row>
    <row r="248" spans="1:1" x14ac:dyDescent="0.25">
      <c r="A248">
        <v>94</v>
      </c>
    </row>
    <row r="249" spans="1:1" x14ac:dyDescent="0.25">
      <c r="A249">
        <v>61</v>
      </c>
    </row>
    <row r="250" spans="1:1" x14ac:dyDescent="0.25">
      <c r="A250">
        <v>79</v>
      </c>
    </row>
    <row r="251" spans="1:1" x14ac:dyDescent="0.25">
      <c r="A251">
        <v>64</v>
      </c>
    </row>
    <row r="252" spans="1:1" x14ac:dyDescent="0.25">
      <c r="A252">
        <v>79</v>
      </c>
    </row>
    <row r="253" spans="1:1" x14ac:dyDescent="0.25">
      <c r="A253">
        <v>89</v>
      </c>
    </row>
    <row r="254" spans="1:1" x14ac:dyDescent="0.25">
      <c r="A254">
        <v>75</v>
      </c>
    </row>
    <row r="255" spans="1:1" x14ac:dyDescent="0.25">
      <c r="A255">
        <v>66</v>
      </c>
    </row>
    <row r="256" spans="1:1" x14ac:dyDescent="0.25">
      <c r="A256">
        <v>83</v>
      </c>
    </row>
    <row r="257" spans="1:1" x14ac:dyDescent="0.25">
      <c r="A257">
        <v>65</v>
      </c>
    </row>
    <row r="258" spans="1:1" x14ac:dyDescent="0.25">
      <c r="A258">
        <v>26</v>
      </c>
    </row>
    <row r="259" spans="1:1" x14ac:dyDescent="0.25">
      <c r="A259">
        <v>97</v>
      </c>
    </row>
    <row r="260" spans="1:1" x14ac:dyDescent="0.25">
      <c r="A260">
        <v>75</v>
      </c>
    </row>
    <row r="261" spans="1:1" x14ac:dyDescent="0.25">
      <c r="A261">
        <v>70</v>
      </c>
    </row>
    <row r="262" spans="1:1" x14ac:dyDescent="0.25">
      <c r="A262">
        <v>96</v>
      </c>
    </row>
    <row r="263" spans="1:1" x14ac:dyDescent="0.25">
      <c r="A263">
        <v>92</v>
      </c>
    </row>
    <row r="264" spans="1:1" x14ac:dyDescent="0.25">
      <c r="A264">
        <v>88</v>
      </c>
    </row>
    <row r="265" spans="1:1" x14ac:dyDescent="0.25">
      <c r="A265">
        <v>82</v>
      </c>
    </row>
    <row r="266" spans="1:1" x14ac:dyDescent="0.25">
      <c r="A266">
        <v>67</v>
      </c>
    </row>
    <row r="267" spans="1:1" x14ac:dyDescent="0.25">
      <c r="A267">
        <v>84</v>
      </c>
    </row>
    <row r="268" spans="1:1" x14ac:dyDescent="0.25">
      <c r="A268">
        <v>91</v>
      </c>
    </row>
    <row r="269" spans="1:1" x14ac:dyDescent="0.25">
      <c r="A269">
        <v>70</v>
      </c>
    </row>
    <row r="270" spans="1:1" x14ac:dyDescent="0.25">
      <c r="A270">
        <v>82</v>
      </c>
    </row>
    <row r="271" spans="1:1" x14ac:dyDescent="0.25">
      <c r="A271">
        <v>74</v>
      </c>
    </row>
    <row r="272" spans="1:1" x14ac:dyDescent="0.25">
      <c r="A272">
        <v>71</v>
      </c>
    </row>
    <row r="273" spans="1:1" x14ac:dyDescent="0.25">
      <c r="A273">
        <v>88</v>
      </c>
    </row>
    <row r="274" spans="1:1" x14ac:dyDescent="0.25">
      <c r="A274">
        <v>71</v>
      </c>
    </row>
    <row r="275" spans="1:1" x14ac:dyDescent="0.25">
      <c r="A275">
        <v>25</v>
      </c>
    </row>
    <row r="276" spans="1:1" x14ac:dyDescent="0.25">
      <c r="A276">
        <v>79</v>
      </c>
    </row>
    <row r="277" spans="1:1" x14ac:dyDescent="0.25">
      <c r="A277">
        <v>55</v>
      </c>
    </row>
    <row r="278" spans="1:1" x14ac:dyDescent="0.25">
      <c r="A278">
        <v>91</v>
      </c>
    </row>
    <row r="279" spans="1:1" x14ac:dyDescent="0.25">
      <c r="A279">
        <v>57</v>
      </c>
    </row>
    <row r="280" spans="1:1" x14ac:dyDescent="0.25">
      <c r="A280">
        <v>41</v>
      </c>
    </row>
    <row r="281" spans="1:1" x14ac:dyDescent="0.25">
      <c r="A281">
        <v>80</v>
      </c>
    </row>
    <row r="282" spans="1:1" x14ac:dyDescent="0.25">
      <c r="A282">
        <v>75</v>
      </c>
    </row>
    <row r="283" spans="1:1" x14ac:dyDescent="0.25">
      <c r="A283">
        <v>63</v>
      </c>
    </row>
    <row r="284" spans="1:1" x14ac:dyDescent="0.25">
      <c r="A284">
        <v>76</v>
      </c>
    </row>
    <row r="285" spans="1:1" x14ac:dyDescent="0.25">
      <c r="A285">
        <v>80</v>
      </c>
    </row>
    <row r="286" spans="1:1" x14ac:dyDescent="0.25">
      <c r="A286">
        <v>86</v>
      </c>
    </row>
    <row r="287" spans="1:1" x14ac:dyDescent="0.25">
      <c r="A287">
        <v>85</v>
      </c>
    </row>
    <row r="288" spans="1:1" x14ac:dyDescent="0.25">
      <c r="A288">
        <v>80</v>
      </c>
    </row>
    <row r="289" spans="1:1" x14ac:dyDescent="0.25">
      <c r="A289">
        <v>81</v>
      </c>
    </row>
    <row r="290" spans="1:1" x14ac:dyDescent="0.25">
      <c r="A290">
        <v>85</v>
      </c>
    </row>
    <row r="291" spans="1:1" x14ac:dyDescent="0.25">
      <c r="A291">
        <v>66</v>
      </c>
    </row>
    <row r="292" spans="1:1" x14ac:dyDescent="0.25">
      <c r="A292">
        <v>56</v>
      </c>
    </row>
    <row r="293" spans="1:1" x14ac:dyDescent="0.25">
      <c r="A293">
        <v>68</v>
      </c>
    </row>
    <row r="294" spans="1:1" x14ac:dyDescent="0.25">
      <c r="A294">
        <v>86</v>
      </c>
    </row>
    <row r="295" spans="1:1" x14ac:dyDescent="0.25">
      <c r="A295">
        <v>87</v>
      </c>
    </row>
    <row r="296" spans="1:1" x14ac:dyDescent="0.25">
      <c r="A296">
        <v>69</v>
      </c>
    </row>
    <row r="297" spans="1:1" x14ac:dyDescent="0.25">
      <c r="A297">
        <v>69</v>
      </c>
    </row>
    <row r="298" spans="1:1" x14ac:dyDescent="0.25">
      <c r="A298">
        <v>60</v>
      </c>
    </row>
    <row r="299" spans="1:1" x14ac:dyDescent="0.25">
      <c r="A299">
        <v>80</v>
      </c>
    </row>
    <row r="300" spans="1:1" x14ac:dyDescent="0.25">
      <c r="A300">
        <v>60</v>
      </c>
    </row>
    <row r="301" spans="1:1" x14ac:dyDescent="0.25">
      <c r="A301">
        <v>62</v>
      </c>
    </row>
    <row r="302" spans="1:1" x14ac:dyDescent="0.25">
      <c r="A302">
        <v>92</v>
      </c>
    </row>
    <row r="303" spans="1:1" x14ac:dyDescent="0.25">
      <c r="A303">
        <v>50</v>
      </c>
    </row>
    <row r="304" spans="1:1" x14ac:dyDescent="0.25">
      <c r="A304">
        <v>32</v>
      </c>
    </row>
    <row r="305" spans="1:1" x14ac:dyDescent="0.25">
      <c r="A305">
        <v>60</v>
      </c>
    </row>
    <row r="306" spans="1:1" x14ac:dyDescent="0.25">
      <c r="A306">
        <v>89</v>
      </c>
    </row>
    <row r="307" spans="1:1" x14ac:dyDescent="0.25">
      <c r="A307">
        <v>40</v>
      </c>
    </row>
    <row r="308" spans="1:1" x14ac:dyDescent="0.25">
      <c r="A308">
        <v>92</v>
      </c>
    </row>
    <row r="309" spans="1:1" x14ac:dyDescent="0.25">
      <c r="A309">
        <v>87</v>
      </c>
    </row>
    <row r="310" spans="1:1" x14ac:dyDescent="0.25">
      <c r="A310">
        <v>71</v>
      </c>
    </row>
    <row r="311" spans="1:1" x14ac:dyDescent="0.25">
      <c r="A311">
        <v>84</v>
      </c>
    </row>
    <row r="312" spans="1:1" x14ac:dyDescent="0.25">
      <c r="A312">
        <v>77</v>
      </c>
    </row>
    <row r="313" spans="1:1" x14ac:dyDescent="0.25">
      <c r="A313">
        <v>89</v>
      </c>
    </row>
    <row r="314" spans="1:1" x14ac:dyDescent="0.25">
      <c r="A314">
        <v>84</v>
      </c>
    </row>
    <row r="315" spans="1:1" x14ac:dyDescent="0.25">
      <c r="A315">
        <v>87</v>
      </c>
    </row>
    <row r="316" spans="1:1" x14ac:dyDescent="0.25">
      <c r="A316">
        <v>80</v>
      </c>
    </row>
    <row r="317" spans="1:1" x14ac:dyDescent="0.25">
      <c r="A317">
        <v>69</v>
      </c>
    </row>
    <row r="318" spans="1:1" x14ac:dyDescent="0.25">
      <c r="A318">
        <v>54</v>
      </c>
    </row>
    <row r="319" spans="1:1" x14ac:dyDescent="0.25">
      <c r="A319">
        <v>89</v>
      </c>
    </row>
    <row r="320" spans="1:1" x14ac:dyDescent="0.25">
      <c r="A320">
        <v>70</v>
      </c>
    </row>
    <row r="321" spans="1:1" x14ac:dyDescent="0.25">
      <c r="A321">
        <v>0</v>
      </c>
    </row>
    <row r="322" spans="1:1" x14ac:dyDescent="0.25">
      <c r="A322">
        <v>46</v>
      </c>
    </row>
    <row r="323" spans="1:1" x14ac:dyDescent="0.25">
      <c r="A323">
        <v>33</v>
      </c>
    </row>
    <row r="324" spans="1:1" x14ac:dyDescent="0.25">
      <c r="A324">
        <v>78</v>
      </c>
    </row>
    <row r="325" spans="1:1" x14ac:dyDescent="0.25">
      <c r="A325">
        <v>84</v>
      </c>
    </row>
    <row r="326" spans="1:1" x14ac:dyDescent="0.25">
      <c r="A326">
        <v>70</v>
      </c>
    </row>
    <row r="327" spans="1:1" x14ac:dyDescent="0.25">
      <c r="A327">
        <v>94</v>
      </c>
    </row>
    <row r="328" spans="1:1" x14ac:dyDescent="0.25">
      <c r="A328">
        <v>66</v>
      </c>
    </row>
    <row r="329" spans="1:1" x14ac:dyDescent="0.25">
      <c r="A329">
        <v>64</v>
      </c>
    </row>
    <row r="330" spans="1:1" x14ac:dyDescent="0.25">
      <c r="A330">
        <v>76</v>
      </c>
    </row>
    <row r="331" spans="1:1" x14ac:dyDescent="0.25">
      <c r="A331">
        <v>89</v>
      </c>
    </row>
    <row r="332" spans="1:1" x14ac:dyDescent="0.25">
      <c r="A332">
        <v>76</v>
      </c>
    </row>
    <row r="333" spans="1:1" x14ac:dyDescent="0.25">
      <c r="A333">
        <v>54</v>
      </c>
    </row>
    <row r="334" spans="1:1" x14ac:dyDescent="0.25">
      <c r="A334">
        <v>80</v>
      </c>
    </row>
    <row r="335" spans="1:1" x14ac:dyDescent="0.25">
      <c r="A335">
        <v>69</v>
      </c>
    </row>
    <row r="336" spans="1:1" x14ac:dyDescent="0.25">
      <c r="A336">
        <v>65</v>
      </c>
    </row>
    <row r="337" spans="1:1" x14ac:dyDescent="0.25">
      <c r="A337">
        <v>67</v>
      </c>
    </row>
    <row r="338" spans="1:1" x14ac:dyDescent="0.25">
      <c r="A338">
        <v>83</v>
      </c>
    </row>
    <row r="339" spans="1:1" x14ac:dyDescent="0.25">
      <c r="A339">
        <v>81</v>
      </c>
    </row>
    <row r="340" spans="1:1" x14ac:dyDescent="0.25">
      <c r="A340">
        <v>78</v>
      </c>
    </row>
    <row r="341" spans="1:1" x14ac:dyDescent="0.25">
      <c r="A341">
        <v>74</v>
      </c>
    </row>
    <row r="342" spans="1:1" x14ac:dyDescent="0.25">
      <c r="A342">
        <v>85</v>
      </c>
    </row>
    <row r="343" spans="1:1" x14ac:dyDescent="0.25">
      <c r="A343">
        <v>86</v>
      </c>
    </row>
    <row r="344" spans="1:1" x14ac:dyDescent="0.25">
      <c r="A344">
        <v>87</v>
      </c>
    </row>
    <row r="345" spans="1:1" x14ac:dyDescent="0.25">
      <c r="A345">
        <v>69</v>
      </c>
    </row>
    <row r="346" spans="1:1" x14ac:dyDescent="0.25">
      <c r="A346">
        <v>83</v>
      </c>
    </row>
    <row r="347" spans="1:1" x14ac:dyDescent="0.25">
      <c r="A347">
        <v>81</v>
      </c>
    </row>
    <row r="348" spans="1:1" x14ac:dyDescent="0.25">
      <c r="A348">
        <v>85</v>
      </c>
    </row>
    <row r="349" spans="1:1" x14ac:dyDescent="0.25">
      <c r="A349">
        <v>89</v>
      </c>
    </row>
    <row r="350" spans="1:1" x14ac:dyDescent="0.25">
      <c r="A350">
        <v>72</v>
      </c>
    </row>
    <row r="351" spans="1:1" x14ac:dyDescent="0.25">
      <c r="A351">
        <v>66</v>
      </c>
    </row>
    <row r="352" spans="1:1" x14ac:dyDescent="0.25">
      <c r="A352">
        <v>84</v>
      </c>
    </row>
    <row r="353" spans="1:1" x14ac:dyDescent="0.25">
      <c r="A353">
        <v>64</v>
      </c>
    </row>
    <row r="354" spans="1:1" x14ac:dyDescent="0.25">
      <c r="A354">
        <v>76</v>
      </c>
    </row>
    <row r="355" spans="1:1" x14ac:dyDescent="0.25">
      <c r="A355">
        <v>67</v>
      </c>
    </row>
    <row r="356" spans="1:1" x14ac:dyDescent="0.25">
      <c r="A356">
        <v>79</v>
      </c>
    </row>
    <row r="357" spans="1:1" x14ac:dyDescent="0.25">
      <c r="A357">
        <v>79</v>
      </c>
    </row>
    <row r="358" spans="1:1" x14ac:dyDescent="0.25">
      <c r="A358">
        <v>71</v>
      </c>
    </row>
    <row r="359" spans="1:1" x14ac:dyDescent="0.25">
      <c r="A359">
        <v>61</v>
      </c>
    </row>
    <row r="360" spans="1:1" x14ac:dyDescent="0.25">
      <c r="A360">
        <v>90</v>
      </c>
    </row>
    <row r="361" spans="1:1" x14ac:dyDescent="0.25">
      <c r="A361">
        <v>62</v>
      </c>
    </row>
    <row r="362" spans="1:1" x14ac:dyDescent="0.25">
      <c r="A362">
        <v>74</v>
      </c>
    </row>
    <row r="363" spans="1:1" x14ac:dyDescent="0.25">
      <c r="A363">
        <v>39</v>
      </c>
    </row>
    <row r="364" spans="1:1" x14ac:dyDescent="0.25">
      <c r="A364">
        <v>57</v>
      </c>
    </row>
    <row r="365" spans="1:1" x14ac:dyDescent="0.25">
      <c r="A365">
        <v>97</v>
      </c>
    </row>
    <row r="366" spans="1:1" x14ac:dyDescent="0.25">
      <c r="A366">
        <v>36</v>
      </c>
    </row>
    <row r="367" spans="1:1" x14ac:dyDescent="0.25">
      <c r="A367">
        <v>15</v>
      </c>
    </row>
    <row r="368" spans="1:1" x14ac:dyDescent="0.25">
      <c r="A368">
        <v>71</v>
      </c>
    </row>
    <row r="369" spans="1:1" x14ac:dyDescent="0.25">
      <c r="A369">
        <v>93</v>
      </c>
    </row>
    <row r="370" spans="1:1" x14ac:dyDescent="0.25">
      <c r="A370">
        <v>79</v>
      </c>
    </row>
    <row r="371" spans="1:1" x14ac:dyDescent="0.25">
      <c r="A371">
        <v>63</v>
      </c>
    </row>
    <row r="372" spans="1:1" x14ac:dyDescent="0.25">
      <c r="A372">
        <v>73</v>
      </c>
    </row>
    <row r="373" spans="1:1" x14ac:dyDescent="0.25">
      <c r="A373">
        <v>81</v>
      </c>
    </row>
    <row r="374" spans="1:1" x14ac:dyDescent="0.25">
      <c r="A374">
        <v>88</v>
      </c>
    </row>
    <row r="375" spans="1:1" x14ac:dyDescent="0.25">
      <c r="A375">
        <v>56</v>
      </c>
    </row>
    <row r="376" spans="1:1" x14ac:dyDescent="0.25">
      <c r="A376">
        <v>22</v>
      </c>
    </row>
    <row r="377" spans="1:1" x14ac:dyDescent="0.25">
      <c r="A377">
        <v>10</v>
      </c>
    </row>
    <row r="378" spans="1:1" x14ac:dyDescent="0.25">
      <c r="A378">
        <v>60</v>
      </c>
    </row>
    <row r="379" spans="1:1" x14ac:dyDescent="0.25">
      <c r="A379">
        <v>41</v>
      </c>
    </row>
    <row r="380" spans="1:1" x14ac:dyDescent="0.25">
      <c r="A380">
        <v>89</v>
      </c>
    </row>
    <row r="381" spans="1:1" x14ac:dyDescent="0.25">
      <c r="A381">
        <v>93</v>
      </c>
    </row>
    <row r="382" spans="1:1" x14ac:dyDescent="0.25">
      <c r="A382">
        <v>49</v>
      </c>
    </row>
    <row r="383" spans="1:1" x14ac:dyDescent="0.25">
      <c r="A383">
        <v>86</v>
      </c>
    </row>
    <row r="384" spans="1:1" x14ac:dyDescent="0.25">
      <c r="A384">
        <v>71</v>
      </c>
    </row>
    <row r="385" spans="1:1" x14ac:dyDescent="0.25">
      <c r="A385">
        <v>93</v>
      </c>
    </row>
    <row r="386" spans="1:1" x14ac:dyDescent="0.25">
      <c r="A386">
        <v>75</v>
      </c>
    </row>
    <row r="387" spans="1:1" x14ac:dyDescent="0.25">
      <c r="A387">
        <v>51</v>
      </c>
    </row>
    <row r="388" spans="1:1" x14ac:dyDescent="0.25">
      <c r="A388">
        <v>91</v>
      </c>
    </row>
    <row r="389" spans="1:1" x14ac:dyDescent="0.25">
      <c r="A389">
        <v>46</v>
      </c>
    </row>
    <row r="390" spans="1:1" x14ac:dyDescent="0.25">
      <c r="A390">
        <v>49</v>
      </c>
    </row>
    <row r="391" spans="1:1" x14ac:dyDescent="0.25">
      <c r="A391">
        <v>96</v>
      </c>
    </row>
    <row r="392" spans="1:1" x14ac:dyDescent="0.25">
      <c r="A392">
        <v>82</v>
      </c>
    </row>
    <row r="393" spans="1:1" x14ac:dyDescent="0.25">
      <c r="A393">
        <v>80</v>
      </c>
    </row>
    <row r="394" spans="1:1" x14ac:dyDescent="0.25">
      <c r="A394">
        <v>72</v>
      </c>
    </row>
    <row r="395" spans="1:1" x14ac:dyDescent="0.25">
      <c r="A395">
        <v>67</v>
      </c>
    </row>
    <row r="396" spans="1:1" x14ac:dyDescent="0.25">
      <c r="A396">
        <v>94</v>
      </c>
    </row>
    <row r="397" spans="1:1" x14ac:dyDescent="0.25">
      <c r="A397">
        <v>78</v>
      </c>
    </row>
    <row r="398" spans="1:1" x14ac:dyDescent="0.25">
      <c r="A398">
        <v>84</v>
      </c>
    </row>
    <row r="399" spans="1:1" x14ac:dyDescent="0.25">
      <c r="A399">
        <v>46</v>
      </c>
    </row>
    <row r="400" spans="1:1" x14ac:dyDescent="0.25">
      <c r="A400">
        <v>91</v>
      </c>
    </row>
    <row r="401" spans="1:1" x14ac:dyDescent="0.25">
      <c r="A401">
        <v>71</v>
      </c>
    </row>
    <row r="402" spans="1:1" x14ac:dyDescent="0.25">
      <c r="A402">
        <v>64</v>
      </c>
    </row>
    <row r="403" spans="1:1" x14ac:dyDescent="0.25">
      <c r="A403">
        <v>52</v>
      </c>
    </row>
    <row r="404" spans="1:1" x14ac:dyDescent="0.25">
      <c r="A404">
        <v>76</v>
      </c>
    </row>
    <row r="405" spans="1:1" x14ac:dyDescent="0.25">
      <c r="A405">
        <v>85</v>
      </c>
    </row>
    <row r="406" spans="1:1" x14ac:dyDescent="0.25">
      <c r="A406">
        <v>83</v>
      </c>
    </row>
    <row r="407" spans="1:1" x14ac:dyDescent="0.25">
      <c r="A407">
        <v>82</v>
      </c>
    </row>
    <row r="408" spans="1:1" x14ac:dyDescent="0.25">
      <c r="A408">
        <v>74</v>
      </c>
    </row>
    <row r="409" spans="1:1" x14ac:dyDescent="0.25">
      <c r="A409">
        <v>88</v>
      </c>
    </row>
    <row r="410" spans="1:1" x14ac:dyDescent="0.25">
      <c r="A410">
        <v>61</v>
      </c>
    </row>
    <row r="411" spans="1:1" x14ac:dyDescent="0.25">
      <c r="A411">
        <v>58</v>
      </c>
    </row>
    <row r="412" spans="1:1" x14ac:dyDescent="0.25">
      <c r="A412">
        <v>88</v>
      </c>
    </row>
    <row r="413" spans="1:1" x14ac:dyDescent="0.25">
      <c r="A413">
        <v>72</v>
      </c>
    </row>
    <row r="414" spans="1:1" x14ac:dyDescent="0.25">
      <c r="A414">
        <v>89</v>
      </c>
    </row>
    <row r="415" spans="1:1" x14ac:dyDescent="0.25">
      <c r="A415">
        <v>81</v>
      </c>
    </row>
    <row r="416" spans="1:1" x14ac:dyDescent="0.25">
      <c r="A416">
        <v>99</v>
      </c>
    </row>
    <row r="417" spans="1:1" x14ac:dyDescent="0.25">
      <c r="A417">
        <v>75</v>
      </c>
    </row>
    <row r="418" spans="1:1" x14ac:dyDescent="0.25">
      <c r="A418">
        <v>67</v>
      </c>
    </row>
    <row r="419" spans="1:1" x14ac:dyDescent="0.25">
      <c r="A419">
        <v>87</v>
      </c>
    </row>
    <row r="420" spans="1:1" x14ac:dyDescent="0.25">
      <c r="A420">
        <v>91</v>
      </c>
    </row>
    <row r="421" spans="1:1" x14ac:dyDescent="0.25">
      <c r="A421">
        <v>61</v>
      </c>
    </row>
    <row r="422" spans="1:1" x14ac:dyDescent="0.25">
      <c r="A422">
        <v>87</v>
      </c>
    </row>
    <row r="423" spans="1:1" x14ac:dyDescent="0.25">
      <c r="A423">
        <v>84</v>
      </c>
    </row>
    <row r="424" spans="1:1" x14ac:dyDescent="0.25">
      <c r="A424">
        <v>65</v>
      </c>
    </row>
    <row r="425" spans="1:1" x14ac:dyDescent="0.25">
      <c r="A425">
        <v>86</v>
      </c>
    </row>
    <row r="426" spans="1:1" x14ac:dyDescent="0.25">
      <c r="A426">
        <v>85</v>
      </c>
    </row>
    <row r="427" spans="1:1" x14ac:dyDescent="0.25">
      <c r="A427">
        <v>50</v>
      </c>
    </row>
    <row r="428" spans="1:1" x14ac:dyDescent="0.25">
      <c r="A428">
        <v>70</v>
      </c>
    </row>
    <row r="429" spans="1:1" x14ac:dyDescent="0.25">
      <c r="A429">
        <v>75</v>
      </c>
    </row>
    <row r="430" spans="1:1" x14ac:dyDescent="0.25">
      <c r="A430">
        <v>77</v>
      </c>
    </row>
    <row r="431" spans="1:1" x14ac:dyDescent="0.25">
      <c r="A431">
        <v>62</v>
      </c>
    </row>
    <row r="432" spans="1:1" x14ac:dyDescent="0.25">
      <c r="A432">
        <v>81</v>
      </c>
    </row>
    <row r="433" spans="1:1" x14ac:dyDescent="0.25">
      <c r="A433">
        <v>80</v>
      </c>
    </row>
    <row r="434" spans="1:1" x14ac:dyDescent="0.25">
      <c r="A434">
        <v>89</v>
      </c>
    </row>
    <row r="435" spans="1:1" x14ac:dyDescent="0.25">
      <c r="A435">
        <v>96</v>
      </c>
    </row>
    <row r="436" spans="1:1" x14ac:dyDescent="0.25">
      <c r="A436">
        <v>91</v>
      </c>
    </row>
    <row r="437" spans="1:1" x14ac:dyDescent="0.25">
      <c r="A437">
        <v>86</v>
      </c>
    </row>
    <row r="438" spans="1:1" x14ac:dyDescent="0.25">
      <c r="A438">
        <v>36</v>
      </c>
    </row>
    <row r="439" spans="1:1" x14ac:dyDescent="0.25">
      <c r="A439">
        <v>68</v>
      </c>
    </row>
    <row r="440" spans="1:1" x14ac:dyDescent="0.25">
      <c r="A440">
        <v>66</v>
      </c>
    </row>
    <row r="441" spans="1:1" x14ac:dyDescent="0.25">
      <c r="A441">
        <v>86</v>
      </c>
    </row>
    <row r="442" spans="1:1" x14ac:dyDescent="0.25">
      <c r="A442">
        <v>61</v>
      </c>
    </row>
    <row r="443" spans="1:1" x14ac:dyDescent="0.25">
      <c r="A443">
        <v>86</v>
      </c>
    </row>
    <row r="444" spans="1:1" x14ac:dyDescent="0.25">
      <c r="A444">
        <v>86</v>
      </c>
    </row>
    <row r="445" spans="1:1" x14ac:dyDescent="0.25">
      <c r="A445">
        <v>83</v>
      </c>
    </row>
    <row r="446" spans="1:1" x14ac:dyDescent="0.25">
      <c r="A446">
        <v>85</v>
      </c>
    </row>
    <row r="447" spans="1:1" x14ac:dyDescent="0.25">
      <c r="A447">
        <v>77</v>
      </c>
    </row>
    <row r="448" spans="1:1" x14ac:dyDescent="0.25">
      <c r="A448">
        <v>69</v>
      </c>
    </row>
    <row r="449" spans="1:1" x14ac:dyDescent="0.25">
      <c r="A449">
        <v>0</v>
      </c>
    </row>
    <row r="450" spans="1:1" x14ac:dyDescent="0.25">
      <c r="A450">
        <v>55</v>
      </c>
    </row>
    <row r="451" spans="1:1" x14ac:dyDescent="0.25">
      <c r="A451">
        <v>93</v>
      </c>
    </row>
    <row r="452" spans="1:1" x14ac:dyDescent="0.25">
      <c r="A452">
        <v>59</v>
      </c>
    </row>
    <row r="453" spans="1:1" x14ac:dyDescent="0.25">
      <c r="A453">
        <v>64</v>
      </c>
    </row>
    <row r="454" spans="1:1" x14ac:dyDescent="0.25">
      <c r="A454">
        <v>70</v>
      </c>
    </row>
    <row r="455" spans="1:1" x14ac:dyDescent="0.25">
      <c r="A455">
        <v>76</v>
      </c>
    </row>
    <row r="456" spans="1:1" x14ac:dyDescent="0.25">
      <c r="A456">
        <v>21</v>
      </c>
    </row>
    <row r="457" spans="1:1" x14ac:dyDescent="0.25">
      <c r="A457">
        <v>70</v>
      </c>
    </row>
    <row r="458" spans="1:1" x14ac:dyDescent="0.25">
      <c r="A458">
        <v>88</v>
      </c>
    </row>
    <row r="459" spans="1:1" x14ac:dyDescent="0.25">
      <c r="A459">
        <v>70</v>
      </c>
    </row>
    <row r="460" spans="1:1" x14ac:dyDescent="0.25">
      <c r="A460">
        <v>80</v>
      </c>
    </row>
    <row r="461" spans="1:1" x14ac:dyDescent="0.25">
      <c r="A461">
        <v>65</v>
      </c>
    </row>
    <row r="462" spans="1:1" x14ac:dyDescent="0.25">
      <c r="A462">
        <v>69</v>
      </c>
    </row>
    <row r="463" spans="1:1" x14ac:dyDescent="0.25">
      <c r="A463">
        <v>67</v>
      </c>
    </row>
    <row r="464" spans="1:1" x14ac:dyDescent="0.25">
      <c r="A464">
        <v>98</v>
      </c>
    </row>
    <row r="465" spans="1:1" x14ac:dyDescent="0.25">
      <c r="A465">
        <v>93</v>
      </c>
    </row>
    <row r="466" spans="1:1" x14ac:dyDescent="0.25">
      <c r="A466">
        <v>84</v>
      </c>
    </row>
    <row r="467" spans="1:1" x14ac:dyDescent="0.25">
      <c r="A467">
        <v>83</v>
      </c>
    </row>
    <row r="468" spans="1:1" x14ac:dyDescent="0.25">
      <c r="A468">
        <v>89</v>
      </c>
    </row>
    <row r="469" spans="1:1" x14ac:dyDescent="0.25">
      <c r="A469">
        <v>89</v>
      </c>
    </row>
    <row r="470" spans="1:1" x14ac:dyDescent="0.25">
      <c r="A470">
        <v>89</v>
      </c>
    </row>
    <row r="471" spans="1:1" x14ac:dyDescent="0.25">
      <c r="A471">
        <v>93</v>
      </c>
    </row>
    <row r="472" spans="1:1" x14ac:dyDescent="0.25">
      <c r="A472">
        <v>69</v>
      </c>
    </row>
    <row r="473" spans="1:1" x14ac:dyDescent="0.25">
      <c r="A473">
        <v>84</v>
      </c>
    </row>
    <row r="474" spans="1:1" x14ac:dyDescent="0.25">
      <c r="A474">
        <v>58</v>
      </c>
    </row>
    <row r="475" spans="1:1" x14ac:dyDescent="0.25">
      <c r="A475">
        <v>60</v>
      </c>
    </row>
    <row r="476" spans="1:1" x14ac:dyDescent="0.25">
      <c r="A476">
        <v>62</v>
      </c>
    </row>
    <row r="477" spans="1:1" x14ac:dyDescent="0.25">
      <c r="A477">
        <v>73</v>
      </c>
    </row>
    <row r="478" spans="1:1" x14ac:dyDescent="0.25">
      <c r="A478">
        <v>88</v>
      </c>
    </row>
    <row r="479" spans="1:1" x14ac:dyDescent="0.25">
      <c r="A479">
        <v>93</v>
      </c>
    </row>
    <row r="480" spans="1:1" x14ac:dyDescent="0.25">
      <c r="A480">
        <v>92</v>
      </c>
    </row>
    <row r="481" spans="1:1" x14ac:dyDescent="0.25">
      <c r="A481">
        <v>62</v>
      </c>
    </row>
    <row r="482" spans="1:1" x14ac:dyDescent="0.25">
      <c r="A482">
        <v>76</v>
      </c>
    </row>
    <row r="483" spans="1:1" x14ac:dyDescent="0.25">
      <c r="A483">
        <v>60</v>
      </c>
    </row>
    <row r="484" spans="1:1" x14ac:dyDescent="0.25">
      <c r="A484">
        <v>68</v>
      </c>
    </row>
    <row r="485" spans="1:1" x14ac:dyDescent="0.25">
      <c r="A485">
        <v>87</v>
      </c>
    </row>
    <row r="486" spans="1:1" x14ac:dyDescent="0.25">
      <c r="A486">
        <v>67</v>
      </c>
    </row>
    <row r="487" spans="1:1" x14ac:dyDescent="0.25">
      <c r="A487">
        <v>80</v>
      </c>
    </row>
    <row r="488" spans="1:1" x14ac:dyDescent="0.25">
      <c r="A488">
        <v>88</v>
      </c>
    </row>
    <row r="489" spans="1:1" x14ac:dyDescent="0.25">
      <c r="A489">
        <v>86</v>
      </c>
    </row>
    <row r="490" spans="1:1" x14ac:dyDescent="0.25">
      <c r="A490">
        <v>82</v>
      </c>
    </row>
    <row r="491" spans="1:1" x14ac:dyDescent="0.25">
      <c r="A491">
        <v>83</v>
      </c>
    </row>
    <row r="492" spans="1:1" x14ac:dyDescent="0.25">
      <c r="A492">
        <v>77</v>
      </c>
    </row>
    <row r="493" spans="1:1" x14ac:dyDescent="0.25">
      <c r="A493">
        <v>91</v>
      </c>
    </row>
    <row r="494" spans="1:1" x14ac:dyDescent="0.25">
      <c r="A494">
        <v>79</v>
      </c>
    </row>
    <row r="495" spans="1:1" x14ac:dyDescent="0.25">
      <c r="A495">
        <v>51</v>
      </c>
    </row>
    <row r="496" spans="1:1" x14ac:dyDescent="0.25">
      <c r="A496">
        <v>78</v>
      </c>
    </row>
    <row r="497" spans="1:1" x14ac:dyDescent="0.25">
      <c r="A497">
        <v>55</v>
      </c>
    </row>
    <row r="498" spans="1:1" x14ac:dyDescent="0.25">
      <c r="A498">
        <v>70</v>
      </c>
    </row>
    <row r="499" spans="1:1" x14ac:dyDescent="0.25">
      <c r="A499">
        <v>88</v>
      </c>
    </row>
    <row r="500" spans="1:1" x14ac:dyDescent="0.25">
      <c r="A500">
        <v>41</v>
      </c>
    </row>
    <row r="501" spans="1:1" x14ac:dyDescent="0.25">
      <c r="A501">
        <v>52</v>
      </c>
    </row>
    <row r="502" spans="1:1" x14ac:dyDescent="0.25">
      <c r="A502">
        <v>89</v>
      </c>
    </row>
    <row r="503" spans="1:1" x14ac:dyDescent="0.25">
      <c r="A503">
        <v>66</v>
      </c>
    </row>
    <row r="504" spans="1:1" x14ac:dyDescent="0.25">
      <c r="A504">
        <v>93</v>
      </c>
    </row>
    <row r="505" spans="1:1" x14ac:dyDescent="0.25">
      <c r="A505">
        <v>87</v>
      </c>
    </row>
    <row r="506" spans="1:1" x14ac:dyDescent="0.25">
      <c r="A506">
        <v>25</v>
      </c>
    </row>
    <row r="507" spans="1:1" x14ac:dyDescent="0.25">
      <c r="A507">
        <v>66</v>
      </c>
    </row>
    <row r="508" spans="1:1" x14ac:dyDescent="0.25">
      <c r="A508">
        <v>89</v>
      </c>
    </row>
    <row r="509" spans="1:1" x14ac:dyDescent="0.25">
      <c r="A509">
        <v>67</v>
      </c>
    </row>
    <row r="510" spans="1:1" x14ac:dyDescent="0.25">
      <c r="A510">
        <v>46</v>
      </c>
    </row>
    <row r="511" spans="1:1" x14ac:dyDescent="0.25">
      <c r="A511">
        <v>90</v>
      </c>
    </row>
    <row r="512" spans="1:1" x14ac:dyDescent="0.25">
      <c r="A512">
        <v>0</v>
      </c>
    </row>
    <row r="513" spans="1:1" x14ac:dyDescent="0.25">
      <c r="A513">
        <v>56</v>
      </c>
    </row>
    <row r="514" spans="1:1" x14ac:dyDescent="0.25">
      <c r="A514">
        <v>58</v>
      </c>
    </row>
    <row r="515" spans="1:1" x14ac:dyDescent="0.25">
      <c r="A515">
        <v>92</v>
      </c>
    </row>
    <row r="516" spans="1:1" x14ac:dyDescent="0.25">
      <c r="A516">
        <v>57</v>
      </c>
    </row>
    <row r="517" spans="1:1" x14ac:dyDescent="0.25">
      <c r="A517">
        <v>91</v>
      </c>
    </row>
    <row r="518" spans="1:1" x14ac:dyDescent="0.25">
      <c r="A518">
        <v>79</v>
      </c>
    </row>
    <row r="519" spans="1:1" x14ac:dyDescent="0.25">
      <c r="A519">
        <v>51</v>
      </c>
    </row>
    <row r="520" spans="1:1" x14ac:dyDescent="0.25">
      <c r="A520">
        <v>62</v>
      </c>
    </row>
    <row r="521" spans="1:1" x14ac:dyDescent="0.25">
      <c r="A521">
        <v>58</v>
      </c>
    </row>
    <row r="522" spans="1:1" x14ac:dyDescent="0.25">
      <c r="A522">
        <v>20</v>
      </c>
    </row>
    <row r="523" spans="1:1" x14ac:dyDescent="0.25">
      <c r="A523">
        <v>87</v>
      </c>
    </row>
    <row r="524" spans="1:1" x14ac:dyDescent="0.25">
      <c r="A524">
        <v>32</v>
      </c>
    </row>
    <row r="525" spans="1:1" x14ac:dyDescent="0.25">
      <c r="A525">
        <v>59</v>
      </c>
    </row>
    <row r="526" spans="1:1" x14ac:dyDescent="0.25">
      <c r="A526">
        <v>83</v>
      </c>
    </row>
    <row r="527" spans="1:1" x14ac:dyDescent="0.25">
      <c r="A527">
        <v>50</v>
      </c>
    </row>
    <row r="528" spans="1:1" x14ac:dyDescent="0.25">
      <c r="A528">
        <v>87</v>
      </c>
    </row>
    <row r="529" spans="1:1" x14ac:dyDescent="0.25">
      <c r="A529">
        <v>48</v>
      </c>
    </row>
    <row r="530" spans="1:1" x14ac:dyDescent="0.25">
      <c r="A530">
        <v>63</v>
      </c>
    </row>
    <row r="531" spans="1:1" x14ac:dyDescent="0.25">
      <c r="A531">
        <v>92</v>
      </c>
    </row>
    <row r="532" spans="1:1" x14ac:dyDescent="0.25">
      <c r="A532">
        <v>93</v>
      </c>
    </row>
    <row r="533" spans="1:1" x14ac:dyDescent="0.25">
      <c r="A533">
        <v>86</v>
      </c>
    </row>
    <row r="534" spans="1:1" x14ac:dyDescent="0.25">
      <c r="A534">
        <v>56</v>
      </c>
    </row>
    <row r="535" spans="1:1" x14ac:dyDescent="0.25">
      <c r="A535">
        <v>91</v>
      </c>
    </row>
    <row r="536" spans="1:1" x14ac:dyDescent="0.25">
      <c r="A536">
        <v>75</v>
      </c>
    </row>
    <row r="537" spans="1:1" x14ac:dyDescent="0.25">
      <c r="A537">
        <v>81</v>
      </c>
    </row>
    <row r="538" spans="1:1" x14ac:dyDescent="0.25">
      <c r="A538">
        <v>93</v>
      </c>
    </row>
    <row r="539" spans="1:1" x14ac:dyDescent="0.25">
      <c r="A539">
        <v>58</v>
      </c>
    </row>
    <row r="540" spans="1:1" x14ac:dyDescent="0.25">
      <c r="A540">
        <v>83</v>
      </c>
    </row>
    <row r="541" spans="1:1" x14ac:dyDescent="0.25">
      <c r="A541">
        <v>79</v>
      </c>
    </row>
    <row r="542" spans="1:1" x14ac:dyDescent="0.25">
      <c r="A542">
        <v>68</v>
      </c>
    </row>
    <row r="543" spans="1:1" x14ac:dyDescent="0.25">
      <c r="A543">
        <v>52</v>
      </c>
    </row>
    <row r="544" spans="1:1" x14ac:dyDescent="0.25">
      <c r="A544">
        <v>71</v>
      </c>
    </row>
    <row r="545" spans="1:1" x14ac:dyDescent="0.25">
      <c r="A545">
        <v>77</v>
      </c>
    </row>
    <row r="546" spans="1:1" x14ac:dyDescent="0.25">
      <c r="A546">
        <v>74</v>
      </c>
    </row>
    <row r="547" spans="1:1" x14ac:dyDescent="0.25">
      <c r="A547">
        <v>79</v>
      </c>
    </row>
    <row r="548" spans="1:1" x14ac:dyDescent="0.25">
      <c r="A548">
        <v>83</v>
      </c>
    </row>
    <row r="549" spans="1:1" x14ac:dyDescent="0.25">
      <c r="A549">
        <v>92</v>
      </c>
    </row>
    <row r="550" spans="1:1" x14ac:dyDescent="0.25">
      <c r="A550">
        <v>97</v>
      </c>
    </row>
    <row r="551" spans="1:1" x14ac:dyDescent="0.25">
      <c r="A551">
        <v>69</v>
      </c>
    </row>
    <row r="552" spans="1:1" x14ac:dyDescent="0.25">
      <c r="A552">
        <v>83</v>
      </c>
    </row>
    <row r="553" spans="1:1" x14ac:dyDescent="0.25">
      <c r="A553">
        <v>85</v>
      </c>
    </row>
    <row r="554" spans="1:1" x14ac:dyDescent="0.25">
      <c r="A554">
        <v>69</v>
      </c>
    </row>
    <row r="555" spans="1:1" x14ac:dyDescent="0.25">
      <c r="A555">
        <v>84</v>
      </c>
    </row>
    <row r="556" spans="1:1" x14ac:dyDescent="0.25">
      <c r="A556">
        <v>43</v>
      </c>
    </row>
    <row r="557" spans="1:1" x14ac:dyDescent="0.25">
      <c r="A557">
        <v>92</v>
      </c>
    </row>
    <row r="558" spans="1:1" x14ac:dyDescent="0.25">
      <c r="A558">
        <v>95</v>
      </c>
    </row>
    <row r="559" spans="1:1" x14ac:dyDescent="0.25">
      <c r="A559">
        <v>71</v>
      </c>
    </row>
    <row r="560" spans="1:1" x14ac:dyDescent="0.25">
      <c r="A560">
        <v>82</v>
      </c>
    </row>
    <row r="561" spans="1:1" x14ac:dyDescent="0.25">
      <c r="A561">
        <v>95</v>
      </c>
    </row>
    <row r="562" spans="1:1" x14ac:dyDescent="0.25">
      <c r="A562">
        <v>85</v>
      </c>
    </row>
    <row r="563" spans="1:1" x14ac:dyDescent="0.25">
      <c r="A563">
        <v>82</v>
      </c>
    </row>
    <row r="564" spans="1:1" x14ac:dyDescent="0.25">
      <c r="A564">
        <v>72</v>
      </c>
    </row>
    <row r="565" spans="1:1" x14ac:dyDescent="0.25">
      <c r="A565">
        <v>80</v>
      </c>
    </row>
    <row r="566" spans="1:1" x14ac:dyDescent="0.25">
      <c r="A566">
        <v>92</v>
      </c>
    </row>
    <row r="567" spans="1:1" x14ac:dyDescent="0.25">
      <c r="A567">
        <v>59</v>
      </c>
    </row>
    <row r="568" spans="1:1" x14ac:dyDescent="0.25">
      <c r="A568">
        <v>90</v>
      </c>
    </row>
    <row r="569" spans="1:1" x14ac:dyDescent="0.25">
      <c r="A569">
        <v>16</v>
      </c>
    </row>
    <row r="570" spans="1:1" x14ac:dyDescent="0.25">
      <c r="A570">
        <v>84</v>
      </c>
    </row>
    <row r="571" spans="1:1" x14ac:dyDescent="0.25">
      <c r="A571">
        <v>85</v>
      </c>
    </row>
    <row r="572" spans="1:1" x14ac:dyDescent="0.25">
      <c r="A572">
        <v>77</v>
      </c>
    </row>
    <row r="573" spans="1:1" x14ac:dyDescent="0.25">
      <c r="A573">
        <v>84</v>
      </c>
    </row>
    <row r="574" spans="1:1" x14ac:dyDescent="0.25">
      <c r="A574">
        <v>97</v>
      </c>
    </row>
    <row r="575" spans="1:1" x14ac:dyDescent="0.25">
      <c r="A575">
        <v>74</v>
      </c>
    </row>
    <row r="576" spans="1:1" x14ac:dyDescent="0.25">
      <c r="A576">
        <v>93</v>
      </c>
    </row>
    <row r="577" spans="1:1" x14ac:dyDescent="0.25">
      <c r="A577">
        <v>83</v>
      </c>
    </row>
    <row r="578" spans="1:1" x14ac:dyDescent="0.25">
      <c r="A578">
        <v>85</v>
      </c>
    </row>
    <row r="579" spans="1:1" x14ac:dyDescent="0.25">
      <c r="A579">
        <v>85</v>
      </c>
    </row>
    <row r="580" spans="1:1" x14ac:dyDescent="0.25">
      <c r="A580">
        <v>69</v>
      </c>
    </row>
    <row r="581" spans="1:1" x14ac:dyDescent="0.25">
      <c r="A581">
        <v>88</v>
      </c>
    </row>
    <row r="582" spans="1:1" x14ac:dyDescent="0.25">
      <c r="A582">
        <v>73</v>
      </c>
    </row>
    <row r="583" spans="1:1" x14ac:dyDescent="0.25">
      <c r="A583">
        <v>85</v>
      </c>
    </row>
    <row r="584" spans="1:1" x14ac:dyDescent="0.25">
      <c r="A584">
        <v>69</v>
      </c>
    </row>
    <row r="585" spans="1:1" x14ac:dyDescent="0.25">
      <c r="A585">
        <v>41</v>
      </c>
    </row>
    <row r="586" spans="1:1" x14ac:dyDescent="0.25">
      <c r="A586">
        <v>79</v>
      </c>
    </row>
    <row r="587" spans="1:1" x14ac:dyDescent="0.25">
      <c r="A587">
        <v>88</v>
      </c>
    </row>
    <row r="588" spans="1:1" x14ac:dyDescent="0.25">
      <c r="A588">
        <v>93</v>
      </c>
    </row>
    <row r="589" spans="1:1" x14ac:dyDescent="0.25">
      <c r="A589">
        <v>75</v>
      </c>
    </row>
    <row r="590" spans="1:1" x14ac:dyDescent="0.25">
      <c r="A590">
        <v>76</v>
      </c>
    </row>
    <row r="591" spans="1:1" x14ac:dyDescent="0.25">
      <c r="A591">
        <v>75</v>
      </c>
    </row>
    <row r="592" spans="1:1" x14ac:dyDescent="0.25">
      <c r="A592">
        <v>51</v>
      </c>
    </row>
    <row r="593" spans="1:1" x14ac:dyDescent="0.25">
      <c r="A593">
        <v>87</v>
      </c>
    </row>
    <row r="594" spans="1:1" x14ac:dyDescent="0.25">
      <c r="A594">
        <v>81</v>
      </c>
    </row>
    <row r="595" spans="1:1" x14ac:dyDescent="0.25">
      <c r="A595">
        <v>87</v>
      </c>
    </row>
    <row r="596" spans="1:1" x14ac:dyDescent="0.25">
      <c r="A596">
        <v>0</v>
      </c>
    </row>
    <row r="597" spans="1:1" x14ac:dyDescent="0.25">
      <c r="A597">
        <v>72</v>
      </c>
    </row>
    <row r="598" spans="1:1" x14ac:dyDescent="0.25">
      <c r="A598">
        <v>63</v>
      </c>
    </row>
    <row r="599" spans="1:1" x14ac:dyDescent="0.25">
      <c r="A599">
        <v>77</v>
      </c>
    </row>
    <row r="600" spans="1:1" x14ac:dyDescent="0.25">
      <c r="A600">
        <v>82</v>
      </c>
    </row>
    <row r="601" spans="1:1" x14ac:dyDescent="0.25">
      <c r="A601">
        <v>86</v>
      </c>
    </row>
    <row r="602" spans="1:1" x14ac:dyDescent="0.25">
      <c r="A602">
        <v>89</v>
      </c>
    </row>
    <row r="603" spans="1:1" x14ac:dyDescent="0.25">
      <c r="A603">
        <v>90</v>
      </c>
    </row>
    <row r="604" spans="1:1" x14ac:dyDescent="0.25">
      <c r="A604">
        <v>83</v>
      </c>
    </row>
    <row r="605" spans="1:1" x14ac:dyDescent="0.25">
      <c r="A605">
        <v>76</v>
      </c>
    </row>
    <row r="606" spans="1:1" x14ac:dyDescent="0.25">
      <c r="A606">
        <v>67</v>
      </c>
    </row>
    <row r="607" spans="1:1" x14ac:dyDescent="0.25">
      <c r="A607">
        <v>78</v>
      </c>
    </row>
    <row r="608" spans="1:1" x14ac:dyDescent="0.25">
      <c r="A608">
        <v>76</v>
      </c>
    </row>
    <row r="609" spans="1:1" x14ac:dyDescent="0.25">
      <c r="A609">
        <v>86</v>
      </c>
    </row>
    <row r="610" spans="1:1" x14ac:dyDescent="0.25">
      <c r="A610">
        <v>72</v>
      </c>
    </row>
    <row r="611" spans="1:1" x14ac:dyDescent="0.25">
      <c r="A611">
        <v>72</v>
      </c>
    </row>
    <row r="612" spans="1:1" x14ac:dyDescent="0.25">
      <c r="A612">
        <v>72</v>
      </c>
    </row>
    <row r="613" spans="1:1" x14ac:dyDescent="0.25">
      <c r="A613">
        <v>86</v>
      </c>
    </row>
    <row r="614" spans="1:1" x14ac:dyDescent="0.25">
      <c r="A614">
        <v>61</v>
      </c>
    </row>
    <row r="615" spans="1:1" x14ac:dyDescent="0.25">
      <c r="A615">
        <v>67</v>
      </c>
    </row>
    <row r="616" spans="1:1" x14ac:dyDescent="0.25">
      <c r="A616">
        <v>82</v>
      </c>
    </row>
    <row r="617" spans="1:1" x14ac:dyDescent="0.25">
      <c r="A617">
        <v>65</v>
      </c>
    </row>
    <row r="618" spans="1:1" x14ac:dyDescent="0.25">
      <c r="A618">
        <v>47</v>
      </c>
    </row>
    <row r="619" spans="1:1" x14ac:dyDescent="0.25">
      <c r="A619">
        <v>90</v>
      </c>
    </row>
    <row r="620" spans="1:1" x14ac:dyDescent="0.25">
      <c r="A620">
        <v>81</v>
      </c>
    </row>
    <row r="621" spans="1:1" x14ac:dyDescent="0.25">
      <c r="A621">
        <v>86</v>
      </c>
    </row>
    <row r="622" spans="1:1" x14ac:dyDescent="0.25">
      <c r="A622">
        <v>92</v>
      </c>
    </row>
    <row r="623" spans="1:1" x14ac:dyDescent="0.25">
      <c r="A623">
        <v>81</v>
      </c>
    </row>
    <row r="624" spans="1:1" x14ac:dyDescent="0.25">
      <c r="A624">
        <v>70</v>
      </c>
    </row>
    <row r="625" spans="1:1" x14ac:dyDescent="0.25">
      <c r="A625">
        <v>75</v>
      </c>
    </row>
    <row r="626" spans="1:1" x14ac:dyDescent="0.25">
      <c r="A626">
        <v>66</v>
      </c>
    </row>
    <row r="627" spans="1:1" x14ac:dyDescent="0.25">
      <c r="A627">
        <v>57</v>
      </c>
    </row>
    <row r="628" spans="1:1" x14ac:dyDescent="0.25">
      <c r="A628">
        <v>75</v>
      </c>
    </row>
    <row r="629" spans="1:1" x14ac:dyDescent="0.25">
      <c r="A629">
        <v>84</v>
      </c>
    </row>
    <row r="630" spans="1:1" x14ac:dyDescent="0.25">
      <c r="A630">
        <v>74</v>
      </c>
    </row>
    <row r="631" spans="1:1" x14ac:dyDescent="0.25">
      <c r="A631">
        <v>40</v>
      </c>
    </row>
    <row r="632" spans="1:1" x14ac:dyDescent="0.25">
      <c r="A632">
        <v>86</v>
      </c>
    </row>
    <row r="633" spans="1:1" x14ac:dyDescent="0.25">
      <c r="A633">
        <v>80</v>
      </c>
    </row>
    <row r="634" spans="1:1" x14ac:dyDescent="0.25">
      <c r="A634">
        <v>83</v>
      </c>
    </row>
    <row r="635" spans="1:1" x14ac:dyDescent="0.25">
      <c r="A635">
        <v>35</v>
      </c>
    </row>
    <row r="636" spans="1:1" x14ac:dyDescent="0.25">
      <c r="A636">
        <v>75</v>
      </c>
    </row>
    <row r="637" spans="1:1" x14ac:dyDescent="0.25">
      <c r="A637">
        <v>88</v>
      </c>
    </row>
    <row r="638" spans="1:1" x14ac:dyDescent="0.25">
      <c r="A638">
        <v>76</v>
      </c>
    </row>
    <row r="639" spans="1:1" x14ac:dyDescent="0.25">
      <c r="A639">
        <v>92</v>
      </c>
    </row>
    <row r="640" spans="1:1" x14ac:dyDescent="0.25">
      <c r="A640">
        <v>71</v>
      </c>
    </row>
    <row r="641" spans="1:1" x14ac:dyDescent="0.25">
      <c r="A641">
        <v>75</v>
      </c>
    </row>
    <row r="642" spans="1:1" x14ac:dyDescent="0.25">
      <c r="A642">
        <v>57</v>
      </c>
    </row>
    <row r="643" spans="1:1" x14ac:dyDescent="0.25">
      <c r="A643">
        <v>84</v>
      </c>
    </row>
    <row r="644" spans="1:1" x14ac:dyDescent="0.25">
      <c r="A644">
        <v>86</v>
      </c>
    </row>
    <row r="645" spans="1:1" x14ac:dyDescent="0.25">
      <c r="A645">
        <v>65</v>
      </c>
    </row>
    <row r="646" spans="1:1" x14ac:dyDescent="0.25">
      <c r="A646">
        <v>66</v>
      </c>
    </row>
    <row r="647" spans="1:1" x14ac:dyDescent="0.25">
      <c r="A647">
        <v>99</v>
      </c>
    </row>
    <row r="648" spans="1:1" x14ac:dyDescent="0.25">
      <c r="A648">
        <v>78</v>
      </c>
    </row>
    <row r="649" spans="1:1" x14ac:dyDescent="0.25">
      <c r="A649">
        <v>56</v>
      </c>
    </row>
    <row r="650" spans="1:1" x14ac:dyDescent="0.25">
      <c r="A650">
        <v>92</v>
      </c>
    </row>
    <row r="651" spans="1:1" x14ac:dyDescent="0.25">
      <c r="A651">
        <v>79</v>
      </c>
    </row>
    <row r="652" spans="1:1" x14ac:dyDescent="0.25">
      <c r="A652">
        <v>81</v>
      </c>
    </row>
    <row r="653" spans="1:1" x14ac:dyDescent="0.25">
      <c r="A653">
        <v>80</v>
      </c>
    </row>
    <row r="654" spans="1:1" x14ac:dyDescent="0.25">
      <c r="A654">
        <v>72</v>
      </c>
    </row>
    <row r="655" spans="1:1" x14ac:dyDescent="0.25">
      <c r="A655">
        <v>81</v>
      </c>
    </row>
    <row r="656" spans="1:1" x14ac:dyDescent="0.25">
      <c r="A656">
        <v>79</v>
      </c>
    </row>
    <row r="657" spans="1:1" x14ac:dyDescent="0.25">
      <c r="A657">
        <v>71</v>
      </c>
    </row>
    <row r="658" spans="1:1" x14ac:dyDescent="0.25">
      <c r="A658">
        <v>93</v>
      </c>
    </row>
    <row r="659" spans="1:1" x14ac:dyDescent="0.25">
      <c r="A659">
        <v>0</v>
      </c>
    </row>
    <row r="660" spans="1:1" x14ac:dyDescent="0.25">
      <c r="A660">
        <v>87</v>
      </c>
    </row>
    <row r="661" spans="1:1" x14ac:dyDescent="0.25">
      <c r="A661">
        <v>56</v>
      </c>
    </row>
    <row r="662" spans="1:1" x14ac:dyDescent="0.25">
      <c r="A662">
        <v>51</v>
      </c>
    </row>
    <row r="663" spans="1:1" x14ac:dyDescent="0.25">
      <c r="A663">
        <v>84</v>
      </c>
    </row>
    <row r="664" spans="1:1" x14ac:dyDescent="0.25">
      <c r="A664">
        <v>62</v>
      </c>
    </row>
    <row r="665" spans="1:1" x14ac:dyDescent="0.25">
      <c r="A665">
        <v>80</v>
      </c>
    </row>
    <row r="666" spans="1:1" x14ac:dyDescent="0.25">
      <c r="A666">
        <v>80</v>
      </c>
    </row>
    <row r="667" spans="1:1" x14ac:dyDescent="0.25">
      <c r="A667">
        <v>67</v>
      </c>
    </row>
    <row r="668" spans="1:1" x14ac:dyDescent="0.25">
      <c r="A668">
        <v>89</v>
      </c>
    </row>
    <row r="669" spans="1:1" x14ac:dyDescent="0.25">
      <c r="A669">
        <v>83</v>
      </c>
    </row>
    <row r="670" spans="1:1" x14ac:dyDescent="0.25">
      <c r="A670">
        <v>62</v>
      </c>
    </row>
    <row r="671" spans="1:1" x14ac:dyDescent="0.25">
      <c r="A671">
        <v>91</v>
      </c>
    </row>
    <row r="672" spans="1:1" x14ac:dyDescent="0.25">
      <c r="A672">
        <v>45</v>
      </c>
    </row>
    <row r="673" spans="1:1" x14ac:dyDescent="0.25">
      <c r="A673">
        <v>74</v>
      </c>
    </row>
    <row r="674" spans="1:1" x14ac:dyDescent="0.25">
      <c r="A674">
        <v>81</v>
      </c>
    </row>
    <row r="675" spans="1:1" x14ac:dyDescent="0.25">
      <c r="A675">
        <v>75</v>
      </c>
    </row>
    <row r="676" spans="1:1" x14ac:dyDescent="0.25">
      <c r="A676">
        <v>83</v>
      </c>
    </row>
    <row r="677" spans="1:1" x14ac:dyDescent="0.25">
      <c r="A677">
        <v>83</v>
      </c>
    </row>
    <row r="678" spans="1:1" x14ac:dyDescent="0.25">
      <c r="A678">
        <v>90</v>
      </c>
    </row>
    <row r="679" spans="1:1" x14ac:dyDescent="0.25">
      <c r="A679">
        <v>89</v>
      </c>
    </row>
    <row r="680" spans="1:1" x14ac:dyDescent="0.25">
      <c r="A680">
        <v>88</v>
      </c>
    </row>
    <row r="681" spans="1:1" x14ac:dyDescent="0.25">
      <c r="A681">
        <v>75</v>
      </c>
    </row>
    <row r="682" spans="1:1" x14ac:dyDescent="0.25">
      <c r="A682">
        <v>72</v>
      </c>
    </row>
    <row r="683" spans="1:1" x14ac:dyDescent="0.25">
      <c r="A683">
        <v>72</v>
      </c>
    </row>
    <row r="684" spans="1:1" x14ac:dyDescent="0.25">
      <c r="A684">
        <v>90</v>
      </c>
    </row>
    <row r="685" spans="1:1" x14ac:dyDescent="0.25">
      <c r="A685">
        <v>66</v>
      </c>
    </row>
    <row r="686" spans="1:1" x14ac:dyDescent="0.25">
      <c r="A686">
        <v>78</v>
      </c>
    </row>
    <row r="687" spans="1:1" x14ac:dyDescent="0.25">
      <c r="A687">
        <v>48</v>
      </c>
    </row>
    <row r="688" spans="1:1" x14ac:dyDescent="0.25">
      <c r="A688">
        <v>63</v>
      </c>
    </row>
    <row r="689" spans="1:1" x14ac:dyDescent="0.25">
      <c r="A689">
        <v>46</v>
      </c>
    </row>
    <row r="690" spans="1:1" x14ac:dyDescent="0.25">
      <c r="A690">
        <v>84</v>
      </c>
    </row>
    <row r="691" spans="1:1" x14ac:dyDescent="0.25">
      <c r="A691">
        <v>62</v>
      </c>
    </row>
    <row r="692" spans="1:1" x14ac:dyDescent="0.25">
      <c r="A692">
        <v>84</v>
      </c>
    </row>
    <row r="693" spans="1:1" x14ac:dyDescent="0.25">
      <c r="A693">
        <v>78</v>
      </c>
    </row>
    <row r="694" spans="1:1" x14ac:dyDescent="0.25">
      <c r="A694">
        <v>89</v>
      </c>
    </row>
    <row r="695" spans="1:1" x14ac:dyDescent="0.25">
      <c r="A695">
        <v>53</v>
      </c>
    </row>
    <row r="696" spans="1:1" x14ac:dyDescent="0.25">
      <c r="A696">
        <v>84</v>
      </c>
    </row>
    <row r="697" spans="1:1" x14ac:dyDescent="0.25">
      <c r="A697">
        <v>81</v>
      </c>
    </row>
    <row r="698" spans="1:1" x14ac:dyDescent="0.25">
      <c r="A698">
        <v>76</v>
      </c>
    </row>
    <row r="699" spans="1:1" x14ac:dyDescent="0.25">
      <c r="A699">
        <v>93</v>
      </c>
    </row>
    <row r="700" spans="1:1" x14ac:dyDescent="0.25">
      <c r="A700">
        <v>87</v>
      </c>
    </row>
    <row r="701" spans="1:1" x14ac:dyDescent="0.25">
      <c r="A701">
        <v>96</v>
      </c>
    </row>
  </sheetData>
  <pageMargins left="0.7" right="0.7" top="0.75" bottom="0.75" header="0.3" footer="0.3"/>
  <pageSetup scale="5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84B69-9C9D-401E-B1B1-635DBD6A5CC8}">
  <sheetPr>
    <tabColor rgb="FF92D050"/>
  </sheetPr>
  <dimension ref="A1:F15"/>
  <sheetViews>
    <sheetView zoomScaleNormal="100" workbookViewId="0">
      <selection activeCell="F13" sqref="F13"/>
    </sheetView>
  </sheetViews>
  <sheetFormatPr defaultRowHeight="15" x14ac:dyDescent="0.25"/>
  <cols>
    <col min="1" max="1" width="13.140625" customWidth="1"/>
    <col min="2" max="2" width="16.140625" customWidth="1"/>
    <col min="3" max="3" width="9.7109375" customWidth="1"/>
    <col min="4" max="4" width="23.7109375" bestFit="1" customWidth="1"/>
    <col min="5" max="5" width="15.85546875" customWidth="1"/>
  </cols>
  <sheetData>
    <row r="1" spans="1:6" ht="15.75" x14ac:dyDescent="0.25">
      <c r="A1" s="11" t="s">
        <v>16</v>
      </c>
      <c r="B1" s="11" t="s">
        <v>17</v>
      </c>
      <c r="C1" s="12"/>
      <c r="D1" s="12"/>
      <c r="E1" s="12"/>
      <c r="F1" s="12"/>
    </row>
    <row r="2" spans="1:6" ht="15.75" x14ac:dyDescent="0.25">
      <c r="A2" s="13">
        <v>1</v>
      </c>
      <c r="B2" s="104">
        <v>138000</v>
      </c>
      <c r="C2" s="12"/>
      <c r="D2" s="14" t="s">
        <v>158</v>
      </c>
      <c r="E2" s="15">
        <f>AVERAGE(B2:B13)</f>
        <v>219937.5</v>
      </c>
      <c r="F2" s="12"/>
    </row>
    <row r="3" spans="1:6" ht="15.75" x14ac:dyDescent="0.25">
      <c r="A3" s="13">
        <v>2</v>
      </c>
      <c r="B3" s="106">
        <v>254000</v>
      </c>
      <c r="C3" s="12"/>
      <c r="D3" s="14" t="s">
        <v>159</v>
      </c>
      <c r="E3" s="15">
        <f>MEDIAN(B2:B13)</f>
        <v>203750</v>
      </c>
      <c r="F3" s="12"/>
    </row>
    <row r="4" spans="1:6" ht="15.75" x14ac:dyDescent="0.25">
      <c r="A4" s="13">
        <v>3</v>
      </c>
      <c r="B4" s="13">
        <v>186000</v>
      </c>
      <c r="C4" s="12"/>
      <c r="D4" s="14" t="s">
        <v>160</v>
      </c>
      <c r="E4" s="15" cm="1">
        <f t="array" ref="E4:E5">_xlfn.MODE.MULT(B2:B13)</f>
        <v>138000</v>
      </c>
      <c r="F4" s="12"/>
    </row>
    <row r="5" spans="1:6" ht="15.75" x14ac:dyDescent="0.25">
      <c r="A5" s="13">
        <v>4</v>
      </c>
      <c r="B5" s="13">
        <v>257500</v>
      </c>
      <c r="C5" s="12"/>
      <c r="D5" s="14" t="s">
        <v>161</v>
      </c>
      <c r="E5" s="15">
        <v>254000</v>
      </c>
      <c r="F5" s="12"/>
    </row>
    <row r="6" spans="1:6" ht="15.75" x14ac:dyDescent="0.25">
      <c r="A6" s="13">
        <v>5</v>
      </c>
      <c r="B6" s="13">
        <v>108000</v>
      </c>
      <c r="C6" s="12"/>
      <c r="D6" s="12"/>
      <c r="E6" s="12"/>
      <c r="F6" s="12"/>
    </row>
    <row r="7" spans="1:6" ht="15.75" x14ac:dyDescent="0.25">
      <c r="A7" s="13">
        <v>6</v>
      </c>
      <c r="B7" s="106">
        <v>254000</v>
      </c>
      <c r="C7" s="12"/>
      <c r="D7" s="14" t="s">
        <v>157</v>
      </c>
      <c r="E7" s="107">
        <f>MAX(B2:B13)-MIN(B2:B13)</f>
        <v>348250</v>
      </c>
      <c r="F7" s="12"/>
    </row>
    <row r="8" spans="1:6" ht="15.75" x14ac:dyDescent="0.25">
      <c r="A8" s="13">
        <v>7</v>
      </c>
      <c r="B8" s="105">
        <v>138000</v>
      </c>
      <c r="C8" s="12"/>
      <c r="D8" s="14" t="s">
        <v>162</v>
      </c>
      <c r="E8" s="12">
        <f>_xlfn.VAR.S(B2:B13)</f>
        <v>9037501420.454546</v>
      </c>
      <c r="F8" s="12"/>
    </row>
    <row r="9" spans="1:6" ht="15.75" x14ac:dyDescent="0.25">
      <c r="A9" s="13">
        <v>8</v>
      </c>
      <c r="B9" s="13">
        <v>298000</v>
      </c>
      <c r="C9" s="12"/>
      <c r="D9" s="14" t="s">
        <v>163</v>
      </c>
      <c r="E9" s="108">
        <f>_xlfn.STDEV.S(B2:B13)</f>
        <v>95065.774180062013</v>
      </c>
      <c r="F9" s="12"/>
    </row>
    <row r="10" spans="1:6" ht="15.75" x14ac:dyDescent="0.25">
      <c r="A10" s="13">
        <v>9</v>
      </c>
      <c r="B10" s="13">
        <v>199500</v>
      </c>
      <c r="C10" s="12"/>
      <c r="D10" s="109" t="s">
        <v>166</v>
      </c>
      <c r="E10" s="110">
        <f>E9/E2</f>
        <v>0.43223995080448768</v>
      </c>
      <c r="F10" s="12"/>
    </row>
    <row r="11" spans="1:6" ht="15.75" x14ac:dyDescent="0.25">
      <c r="A11" s="13">
        <v>10</v>
      </c>
      <c r="B11" s="13">
        <v>208000</v>
      </c>
      <c r="C11" s="12"/>
      <c r="D11" s="12"/>
      <c r="E11" s="12"/>
      <c r="F11" s="12"/>
    </row>
    <row r="12" spans="1:6" ht="15.75" x14ac:dyDescent="0.25">
      <c r="A12" s="13">
        <v>11</v>
      </c>
      <c r="B12" s="13">
        <v>142000</v>
      </c>
      <c r="C12" s="12"/>
      <c r="D12" s="12"/>
      <c r="E12" s="12"/>
      <c r="F12" s="12"/>
    </row>
    <row r="13" spans="1:6" ht="15.75" x14ac:dyDescent="0.25">
      <c r="A13" s="13">
        <v>12</v>
      </c>
      <c r="B13" s="13">
        <v>456250</v>
      </c>
      <c r="C13" s="12"/>
      <c r="D13" s="12"/>
      <c r="E13" s="12"/>
    </row>
    <row r="14" spans="1:6" ht="15.75" x14ac:dyDescent="0.25">
      <c r="A14" s="12"/>
      <c r="B14" s="12"/>
      <c r="C14" s="12"/>
      <c r="D14" s="12"/>
      <c r="E14" s="12"/>
      <c r="F14" s="12"/>
    </row>
    <row r="15" spans="1:6" ht="15.75" x14ac:dyDescent="0.25">
      <c r="A15" s="12"/>
      <c r="B15" s="12"/>
      <c r="C15" s="12"/>
      <c r="D15" s="12"/>
      <c r="E15" s="12"/>
      <c r="F15" s="12"/>
    </row>
  </sheetData>
  <pageMargins left="0.7" right="0.7" top="0.75" bottom="0.75" header="0.3" footer="0.3"/>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59C2D-1DC8-453C-8827-592236BD6BCF}">
  <sheetPr>
    <tabColor rgb="FF7030A0"/>
  </sheetPr>
  <dimension ref="A1:P27"/>
  <sheetViews>
    <sheetView workbookViewId="0">
      <selection activeCell="C3" sqref="C3"/>
    </sheetView>
  </sheetViews>
  <sheetFormatPr defaultRowHeight="15" x14ac:dyDescent="0.25"/>
  <cols>
    <col min="1" max="1" width="11.7109375" bestFit="1" customWidth="1"/>
    <col min="2" max="5" width="7.85546875" bestFit="1" customWidth="1"/>
    <col min="6" max="6" width="7.85546875" customWidth="1"/>
    <col min="7" max="7" width="11.5703125" bestFit="1" customWidth="1"/>
    <col min="12" max="12" width="58.28515625" customWidth="1"/>
    <col min="13" max="13" width="11.42578125" bestFit="1" customWidth="1"/>
  </cols>
  <sheetData>
    <row r="1" spans="1:16" x14ac:dyDescent="0.25">
      <c r="A1" s="17" t="s">
        <v>164</v>
      </c>
    </row>
    <row r="2" spans="1:16" x14ac:dyDescent="0.25">
      <c r="A2" s="17" t="s">
        <v>195</v>
      </c>
    </row>
    <row r="3" spans="1:16" ht="15.75" thickBot="1" x14ac:dyDescent="0.3"/>
    <row r="4" spans="1:16" ht="15.75" thickBot="1" x14ac:dyDescent="0.3">
      <c r="A4" s="18" t="s">
        <v>20</v>
      </c>
      <c r="B4" s="19" t="s">
        <v>21</v>
      </c>
      <c r="C4" s="19" t="s">
        <v>22</v>
      </c>
      <c r="D4" s="19" t="s">
        <v>23</v>
      </c>
      <c r="E4" s="20" t="s">
        <v>24</v>
      </c>
      <c r="F4" s="20"/>
      <c r="G4" s="21" t="s">
        <v>25</v>
      </c>
    </row>
    <row r="5" spans="1:16" x14ac:dyDescent="0.25">
      <c r="A5" s="22">
        <v>6039</v>
      </c>
      <c r="B5" s="23">
        <v>100</v>
      </c>
      <c r="C5" s="23">
        <v>93</v>
      </c>
      <c r="D5" s="23">
        <v>89</v>
      </c>
      <c r="E5" s="4">
        <f>0.25*SUM(B5:C5)+0.5*D5</f>
        <v>92.75</v>
      </c>
      <c r="F5" s="4"/>
      <c r="G5" s="6" t="str">
        <f>VLOOKUP(E5,lookup,2)</f>
        <v>A</v>
      </c>
      <c r="L5" s="84" t="s">
        <v>26</v>
      </c>
      <c r="M5" s="85"/>
      <c r="N5" s="85"/>
      <c r="O5" s="85"/>
      <c r="P5" s="86"/>
    </row>
    <row r="6" spans="1:16" x14ac:dyDescent="0.25">
      <c r="A6" s="22">
        <v>6854</v>
      </c>
      <c r="B6" s="23">
        <v>99</v>
      </c>
      <c r="C6" s="23">
        <v>90</v>
      </c>
      <c r="D6" s="23">
        <v>89</v>
      </c>
      <c r="E6" s="4">
        <f t="shared" ref="E6:E19" si="0">0.25*SUM(B6:C6)+0.5*D6</f>
        <v>91.75</v>
      </c>
      <c r="F6" s="4"/>
      <c r="G6" s="6" t="str">
        <f>VLOOKUP(E6,lookup,2)</f>
        <v>A</v>
      </c>
      <c r="L6" s="24"/>
      <c r="P6" s="25"/>
    </row>
    <row r="7" spans="1:16" x14ac:dyDescent="0.25">
      <c r="A7" s="22">
        <v>6902</v>
      </c>
      <c r="B7" s="23">
        <v>63</v>
      </c>
      <c r="C7" s="23">
        <v>51</v>
      </c>
      <c r="D7" s="23">
        <v>43</v>
      </c>
      <c r="E7" s="4">
        <f>0.25*SUM(B7:C7)+0.5*D7</f>
        <v>50</v>
      </c>
      <c r="F7" s="4"/>
      <c r="G7" s="6" t="str">
        <f>VLOOKUP(E7,lookup,2)</f>
        <v>D</v>
      </c>
      <c r="L7" s="26" t="s">
        <v>27</v>
      </c>
      <c r="N7" s="87" t="s">
        <v>28</v>
      </c>
      <c r="O7" s="87"/>
      <c r="P7" s="88"/>
    </row>
    <row r="8" spans="1:16" x14ac:dyDescent="0.25">
      <c r="A8" s="22">
        <v>6830</v>
      </c>
      <c r="B8" s="23">
        <v>99</v>
      </c>
      <c r="C8" s="23">
        <v>91</v>
      </c>
      <c r="D8" s="23">
        <v>81</v>
      </c>
      <c r="E8" s="4">
        <f t="shared" si="0"/>
        <v>88</v>
      </c>
      <c r="F8" s="4"/>
      <c r="G8" s="6" t="str">
        <f>VLOOKUP(E8,lookup,2)</f>
        <v>B</v>
      </c>
      <c r="L8" s="28" t="s">
        <v>29</v>
      </c>
      <c r="N8">
        <v>5</v>
      </c>
      <c r="O8" s="29" t="s">
        <v>30</v>
      </c>
      <c r="P8" s="30" t="s">
        <v>31</v>
      </c>
    </row>
    <row r="9" spans="1:16" x14ac:dyDescent="0.25">
      <c r="A9" s="22">
        <v>6606</v>
      </c>
      <c r="B9" s="23">
        <v>74</v>
      </c>
      <c r="C9" s="23">
        <v>65</v>
      </c>
      <c r="D9" s="23">
        <v>58</v>
      </c>
      <c r="E9" s="4">
        <f t="shared" si="0"/>
        <v>63.75</v>
      </c>
      <c r="F9" s="4"/>
      <c r="G9" s="6" t="str">
        <f>VLOOKUP(E9,lookup,2)</f>
        <v>C</v>
      </c>
      <c r="L9" s="28" t="s">
        <v>32</v>
      </c>
      <c r="N9">
        <v>5</v>
      </c>
      <c r="O9" s="31" t="s">
        <v>30</v>
      </c>
      <c r="P9" s="30" t="s">
        <v>31</v>
      </c>
    </row>
    <row r="10" spans="1:16" x14ac:dyDescent="0.25">
      <c r="A10" s="22">
        <v>6698</v>
      </c>
      <c r="B10" s="23">
        <v>74</v>
      </c>
      <c r="C10" s="23">
        <v>63</v>
      </c>
      <c r="D10" s="23">
        <v>63</v>
      </c>
      <c r="E10" s="4">
        <f t="shared" si="0"/>
        <v>65.75</v>
      </c>
      <c r="F10" s="4"/>
      <c r="G10" s="6" t="str">
        <f>VLOOKUP(E10,lookup,2)</f>
        <v>C</v>
      </c>
      <c r="L10" s="24"/>
      <c r="N10" s="17" t="s">
        <v>33</v>
      </c>
      <c r="P10" s="32" t="s">
        <v>34</v>
      </c>
    </row>
    <row r="11" spans="1:16" x14ac:dyDescent="0.25">
      <c r="A11" s="22">
        <v>6115</v>
      </c>
      <c r="B11" s="23">
        <v>63</v>
      </c>
      <c r="C11" s="23">
        <v>50</v>
      </c>
      <c r="D11" s="23">
        <v>43</v>
      </c>
      <c r="E11" s="4">
        <f t="shared" si="0"/>
        <v>49.75</v>
      </c>
      <c r="F11" s="4"/>
      <c r="G11" s="6" t="str">
        <f>VLOOKUP(E11,lookup,2)</f>
        <v>F</v>
      </c>
      <c r="L11" s="24"/>
      <c r="M11" s="33" t="s">
        <v>35</v>
      </c>
      <c r="N11" s="33"/>
      <c r="O11" s="33"/>
      <c r="P11" s="34"/>
    </row>
    <row r="12" spans="1:16" x14ac:dyDescent="0.25">
      <c r="A12" s="22">
        <v>6149</v>
      </c>
      <c r="B12" s="23">
        <v>84</v>
      </c>
      <c r="C12" s="23">
        <v>72</v>
      </c>
      <c r="D12" s="23">
        <v>65</v>
      </c>
      <c r="E12" s="4">
        <f t="shared" si="0"/>
        <v>71.5</v>
      </c>
      <c r="F12" s="4"/>
      <c r="G12" s="6" t="str">
        <f>VLOOKUP(E12,lookup,2)</f>
        <v>C</v>
      </c>
      <c r="L12" s="35"/>
      <c r="M12" s="36" t="s">
        <v>36</v>
      </c>
      <c r="N12" s="89" t="s">
        <v>37</v>
      </c>
      <c r="O12" s="89"/>
      <c r="P12" s="90"/>
    </row>
    <row r="13" spans="1:16" x14ac:dyDescent="0.25">
      <c r="A13" s="22">
        <v>6615</v>
      </c>
      <c r="B13" s="23">
        <v>78</v>
      </c>
      <c r="C13" s="23">
        <v>65</v>
      </c>
      <c r="D13" s="23">
        <v>58</v>
      </c>
      <c r="E13" s="4">
        <f t="shared" si="0"/>
        <v>64.75</v>
      </c>
      <c r="F13" s="4"/>
      <c r="G13" s="6" t="str">
        <f>VLOOKUP(E13,lookup,2)</f>
        <v>C</v>
      </c>
    </row>
    <row r="14" spans="1:16" x14ac:dyDescent="0.25">
      <c r="A14" s="22">
        <v>6683</v>
      </c>
      <c r="B14" s="23">
        <v>88</v>
      </c>
      <c r="C14" s="23">
        <v>78</v>
      </c>
      <c r="D14" s="23">
        <v>77</v>
      </c>
      <c r="E14" s="4">
        <f t="shared" si="0"/>
        <v>80</v>
      </c>
      <c r="F14" s="4"/>
      <c r="G14" s="6" t="str">
        <f>VLOOKUP(E14,lookup,2)</f>
        <v>B</v>
      </c>
    </row>
    <row r="15" spans="1:16" x14ac:dyDescent="0.25">
      <c r="A15" s="22">
        <v>6535</v>
      </c>
      <c r="B15" s="23">
        <v>72</v>
      </c>
      <c r="C15" s="23">
        <v>64</v>
      </c>
      <c r="D15" s="23">
        <v>62</v>
      </c>
      <c r="E15" s="4">
        <f t="shared" si="0"/>
        <v>65</v>
      </c>
      <c r="F15" s="4"/>
      <c r="G15" s="6" t="str">
        <f>VLOOKUP(E15,lookup,2)</f>
        <v>C</v>
      </c>
      <c r="L15" s="33" t="s">
        <v>38</v>
      </c>
    </row>
    <row r="16" spans="1:16" x14ac:dyDescent="0.25">
      <c r="A16" s="22">
        <v>6949</v>
      </c>
      <c r="B16" s="23">
        <v>100</v>
      </c>
      <c r="C16" s="23">
        <v>89</v>
      </c>
      <c r="D16" s="23">
        <v>85</v>
      </c>
      <c r="E16" s="4">
        <f t="shared" si="0"/>
        <v>89.75</v>
      </c>
      <c r="F16" s="4"/>
      <c r="G16" s="6" t="str">
        <f>VLOOKUP(E16,lookup,2)</f>
        <v>B</v>
      </c>
    </row>
    <row r="17" spans="1:7" x14ac:dyDescent="0.25">
      <c r="A17" s="22">
        <v>6412</v>
      </c>
      <c r="B17" s="23">
        <v>99</v>
      </c>
      <c r="C17" s="23">
        <v>88</v>
      </c>
      <c r="D17" s="23">
        <v>84</v>
      </c>
      <c r="E17" s="4">
        <f t="shared" si="0"/>
        <v>88.75</v>
      </c>
      <c r="F17" s="4"/>
      <c r="G17" s="6" t="str">
        <f>VLOOKUP(E17,lookup,2)</f>
        <v>B</v>
      </c>
    </row>
    <row r="18" spans="1:7" x14ac:dyDescent="0.25">
      <c r="A18" s="22">
        <v>6180</v>
      </c>
      <c r="B18" s="23">
        <v>98</v>
      </c>
      <c r="C18" s="23">
        <v>84</v>
      </c>
      <c r="D18" s="23">
        <v>84</v>
      </c>
      <c r="E18" s="4">
        <f t="shared" si="0"/>
        <v>87.5</v>
      </c>
      <c r="F18" s="4"/>
      <c r="G18" s="6" t="str">
        <f>VLOOKUP(E18,lookup,2)</f>
        <v>B</v>
      </c>
    </row>
    <row r="19" spans="1:7" ht="15.75" thickBot="1" x14ac:dyDescent="0.3">
      <c r="A19" s="37">
        <v>6736</v>
      </c>
      <c r="B19" s="38">
        <v>100</v>
      </c>
      <c r="C19" s="38">
        <v>92</v>
      </c>
      <c r="D19" s="38">
        <v>86</v>
      </c>
      <c r="E19" s="39">
        <f t="shared" si="0"/>
        <v>91</v>
      </c>
      <c r="F19" s="39"/>
      <c r="G19" s="6" t="str">
        <f>VLOOKUP(E19,lookup,2)</f>
        <v>A</v>
      </c>
    </row>
    <row r="22" spans="1:7" ht="15.75" thickBot="1" x14ac:dyDescent="0.3">
      <c r="A22" s="40" t="s">
        <v>39</v>
      </c>
      <c r="B22" s="40" t="s">
        <v>40</v>
      </c>
    </row>
    <row r="23" spans="1:7" x14ac:dyDescent="0.25">
      <c r="A23" s="6">
        <v>0</v>
      </c>
      <c r="B23" s="6" t="s">
        <v>41</v>
      </c>
    </row>
    <row r="24" spans="1:7" x14ac:dyDescent="0.25">
      <c r="A24" s="6">
        <v>50</v>
      </c>
      <c r="B24" s="6" t="s">
        <v>42</v>
      </c>
    </row>
    <row r="25" spans="1:7" x14ac:dyDescent="0.25">
      <c r="A25" s="6">
        <v>60</v>
      </c>
      <c r="B25" s="6" t="s">
        <v>43</v>
      </c>
    </row>
    <row r="26" spans="1:7" x14ac:dyDescent="0.25">
      <c r="A26" s="6">
        <v>75</v>
      </c>
      <c r="B26" s="6" t="s">
        <v>44</v>
      </c>
    </row>
    <row r="27" spans="1:7" x14ac:dyDescent="0.25">
      <c r="A27" s="6">
        <v>90</v>
      </c>
      <c r="B27" s="6" t="s">
        <v>45</v>
      </c>
    </row>
  </sheetData>
  <mergeCells count="3">
    <mergeCell ref="L5:P5"/>
    <mergeCell ref="N7:P7"/>
    <mergeCell ref="N12:P12"/>
  </mergeCells>
  <pageMargins left="0.7" right="0.7" top="0.75" bottom="0.75" header="0.3" footer="0.3"/>
  <pageSetup orientation="portrait"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2EA3B-7CBD-45DB-A280-8E728DE1171E}">
  <sheetPr>
    <tabColor rgb="FF7030A0"/>
  </sheetPr>
  <dimension ref="A1:E17"/>
  <sheetViews>
    <sheetView workbookViewId="0">
      <selection activeCell="C17" sqref="C17"/>
    </sheetView>
  </sheetViews>
  <sheetFormatPr defaultRowHeight="15" x14ac:dyDescent="0.25"/>
  <cols>
    <col min="1" max="1" width="13.85546875" customWidth="1"/>
    <col min="3" max="3" width="13.85546875" bestFit="1" customWidth="1"/>
    <col min="5" max="5" width="15.42578125" customWidth="1"/>
    <col min="6" max="6" width="9.140625" customWidth="1"/>
  </cols>
  <sheetData>
    <row r="1" spans="1:5" x14ac:dyDescent="0.25">
      <c r="A1" s="91" t="s">
        <v>46</v>
      </c>
      <c r="B1" s="91"/>
      <c r="C1" s="91"/>
      <c r="D1" s="91"/>
      <c r="E1" s="91"/>
    </row>
    <row r="2" spans="1:5" x14ac:dyDescent="0.25">
      <c r="A2" s="3" t="s">
        <v>47</v>
      </c>
      <c r="B2" s="3" t="s">
        <v>48</v>
      </c>
      <c r="C2" s="3" t="s">
        <v>49</v>
      </c>
      <c r="D2" s="3" t="s">
        <v>50</v>
      </c>
      <c r="E2" s="3" t="s">
        <v>51</v>
      </c>
    </row>
    <row r="3" spans="1:5" x14ac:dyDescent="0.25">
      <c r="A3" s="41" t="s">
        <v>52</v>
      </c>
      <c r="B3" s="41" t="s">
        <v>53</v>
      </c>
      <c r="C3" s="42">
        <v>51</v>
      </c>
      <c r="D3" s="43">
        <v>25</v>
      </c>
      <c r="E3" s="44">
        <v>1275</v>
      </c>
    </row>
    <row r="4" spans="1:5" x14ac:dyDescent="0.25">
      <c r="A4" s="41" t="s">
        <v>54</v>
      </c>
      <c r="B4" s="41" t="s">
        <v>55</v>
      </c>
      <c r="C4" s="42">
        <v>93</v>
      </c>
      <c r="D4" s="43">
        <v>132</v>
      </c>
      <c r="E4" s="44">
        <v>12276</v>
      </c>
    </row>
    <row r="5" spans="1:5" x14ac:dyDescent="0.25">
      <c r="A5" s="41" t="s">
        <v>56</v>
      </c>
      <c r="B5" s="41" t="s">
        <v>57</v>
      </c>
      <c r="C5" s="42">
        <v>57</v>
      </c>
      <c r="D5" s="43">
        <v>151</v>
      </c>
      <c r="E5" s="44">
        <v>8607</v>
      </c>
    </row>
    <row r="6" spans="1:5" x14ac:dyDescent="0.25">
      <c r="A6" s="41" t="s">
        <v>58</v>
      </c>
      <c r="B6" s="41" t="s">
        <v>59</v>
      </c>
      <c r="C6" s="42">
        <v>19</v>
      </c>
      <c r="D6" s="43">
        <v>186</v>
      </c>
      <c r="E6" s="44">
        <v>3534</v>
      </c>
    </row>
    <row r="7" spans="1:5" x14ac:dyDescent="0.25">
      <c r="A7" s="41" t="s">
        <v>60</v>
      </c>
      <c r="B7" s="41" t="s">
        <v>61</v>
      </c>
      <c r="C7" s="42">
        <v>75</v>
      </c>
      <c r="D7" s="43">
        <v>62</v>
      </c>
      <c r="E7" s="44">
        <v>4650</v>
      </c>
    </row>
    <row r="8" spans="1:5" x14ac:dyDescent="0.25">
      <c r="A8" s="41" t="s">
        <v>62</v>
      </c>
      <c r="B8" s="41" t="s">
        <v>63</v>
      </c>
      <c r="C8" s="42">
        <v>11</v>
      </c>
      <c r="D8" s="43">
        <v>5</v>
      </c>
      <c r="E8" s="44">
        <v>55</v>
      </c>
    </row>
    <row r="9" spans="1:5" x14ac:dyDescent="0.25">
      <c r="A9" s="45" t="s">
        <v>64</v>
      </c>
      <c r="B9" s="41" t="s">
        <v>65</v>
      </c>
      <c r="C9" s="46">
        <v>56</v>
      </c>
      <c r="D9" s="43">
        <v>58</v>
      </c>
      <c r="E9" s="44">
        <v>3248</v>
      </c>
    </row>
    <row r="10" spans="1:5" x14ac:dyDescent="0.25">
      <c r="A10" s="41" t="s">
        <v>66</v>
      </c>
      <c r="B10" s="41" t="s">
        <v>67</v>
      </c>
      <c r="C10" s="42">
        <v>38</v>
      </c>
      <c r="D10" s="43">
        <v>101</v>
      </c>
      <c r="E10" s="44">
        <v>3838</v>
      </c>
    </row>
    <row r="11" spans="1:5" x14ac:dyDescent="0.25">
      <c r="A11" s="41" t="s">
        <v>68</v>
      </c>
      <c r="B11" s="41" t="s">
        <v>69</v>
      </c>
      <c r="C11" s="42">
        <v>59</v>
      </c>
      <c r="D11" s="43">
        <v>122</v>
      </c>
      <c r="E11" s="44">
        <v>7198</v>
      </c>
    </row>
    <row r="12" spans="1:5" x14ac:dyDescent="0.25">
      <c r="A12" s="41" t="s">
        <v>70</v>
      </c>
      <c r="B12" s="41" t="s">
        <v>71</v>
      </c>
      <c r="C12" s="42">
        <v>50</v>
      </c>
      <c r="D12" s="43">
        <v>175</v>
      </c>
      <c r="E12" s="44">
        <v>8750</v>
      </c>
    </row>
    <row r="13" spans="1:5" x14ac:dyDescent="0.25">
      <c r="A13" s="41" t="s">
        <v>72</v>
      </c>
      <c r="B13" s="41" t="s">
        <v>73</v>
      </c>
      <c r="C13" s="42">
        <v>59</v>
      </c>
      <c r="D13" s="43">
        <v>176</v>
      </c>
      <c r="E13" s="44">
        <v>10384</v>
      </c>
    </row>
    <row r="14" spans="1:5" x14ac:dyDescent="0.25">
      <c r="A14" s="41" t="s">
        <v>74</v>
      </c>
      <c r="B14" s="41" t="s">
        <v>75</v>
      </c>
      <c r="C14" s="42">
        <v>18</v>
      </c>
      <c r="D14" s="43">
        <v>22</v>
      </c>
      <c r="E14" s="44">
        <v>396</v>
      </c>
    </row>
    <row r="16" spans="1:5" ht="15.75" thickBot="1" x14ac:dyDescent="0.3"/>
    <row r="17" spans="1:3" ht="15.75" thickBot="1" x14ac:dyDescent="0.3">
      <c r="A17" s="47" t="s">
        <v>76</v>
      </c>
      <c r="C17" s="48">
        <f>VLOOKUP("IN0007",A3:E14,3,FALSE)</f>
        <v>56</v>
      </c>
    </row>
  </sheetData>
  <mergeCells count="1">
    <mergeCell ref="A1:E1"/>
  </mergeCells>
  <conditionalFormatting sqref="A3:D14">
    <cfRule type="expression" dxfId="2" priority="3">
      <formula>$B3=1</formula>
    </cfRule>
  </conditionalFormatting>
  <conditionalFormatting sqref="A3:E14">
    <cfRule type="expression" dxfId="1" priority="2">
      <formula>$K3="yes"</formula>
    </cfRule>
  </conditionalFormatting>
  <conditionalFormatting sqref="E3:E14">
    <cfRule type="expression" dxfId="0" priority="1">
      <formula>$B3=1</formula>
    </cfRule>
  </conditionalFormatting>
  <pageMargins left="0.7" right="0.7" top="0.75" bottom="0.75" header="0.3" footer="0.3"/>
  <pageSetup orientation="portrait"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E4A1E-3E47-4FEC-B680-2B2A27FEBE6E}">
  <sheetPr>
    <tabColor theme="4" tint="0.59999389629810485"/>
  </sheetPr>
  <dimension ref="A1:N35"/>
  <sheetViews>
    <sheetView topLeftCell="A4" workbookViewId="0">
      <selection activeCell="C10" sqref="C10:C17"/>
    </sheetView>
  </sheetViews>
  <sheetFormatPr defaultRowHeight="15" x14ac:dyDescent="0.25"/>
  <cols>
    <col min="1" max="1" width="25.28515625" customWidth="1"/>
    <col min="2" max="2" width="13.28515625" bestFit="1" customWidth="1"/>
    <col min="3" max="3" width="11.28515625" bestFit="1" customWidth="1"/>
  </cols>
  <sheetData>
    <row r="1" spans="1:14" x14ac:dyDescent="0.25">
      <c r="A1" t="s">
        <v>7</v>
      </c>
    </row>
    <row r="2" spans="1:14" x14ac:dyDescent="0.25">
      <c r="A2" t="s">
        <v>19</v>
      </c>
    </row>
    <row r="4" spans="1:14" ht="18.75" x14ac:dyDescent="0.3">
      <c r="A4" s="49" t="s">
        <v>77</v>
      </c>
      <c r="H4" s="92" t="s">
        <v>78</v>
      </c>
      <c r="I4" s="93"/>
      <c r="J4" s="93"/>
      <c r="K4" s="93"/>
      <c r="L4" s="93"/>
      <c r="M4" s="93"/>
      <c r="N4" s="94"/>
    </row>
    <row r="5" spans="1:14" x14ac:dyDescent="0.25">
      <c r="A5" s="50" t="s">
        <v>79</v>
      </c>
      <c r="H5" s="51" t="s">
        <v>18</v>
      </c>
      <c r="L5" s="95" t="s">
        <v>28</v>
      </c>
      <c r="M5" s="95"/>
      <c r="N5" s="95"/>
    </row>
    <row r="6" spans="1:14" ht="14.45" customHeight="1" x14ac:dyDescent="0.25">
      <c r="A6" t="s">
        <v>80</v>
      </c>
      <c r="B6" s="52">
        <v>100000</v>
      </c>
      <c r="H6" s="96" t="s">
        <v>81</v>
      </c>
      <c r="I6" s="97"/>
      <c r="J6" s="97"/>
      <c r="K6" s="98"/>
      <c r="L6" s="53" t="s">
        <v>82</v>
      </c>
      <c r="M6" s="54" t="s">
        <v>83</v>
      </c>
      <c r="N6" s="53" t="s">
        <v>84</v>
      </c>
    </row>
    <row r="7" spans="1:14" x14ac:dyDescent="0.25">
      <c r="A7" t="s">
        <v>85</v>
      </c>
      <c r="B7" s="52">
        <v>1000</v>
      </c>
      <c r="H7" s="99"/>
      <c r="I7" s="100"/>
      <c r="J7" s="100"/>
      <c r="K7" s="101"/>
    </row>
    <row r="8" spans="1:14" x14ac:dyDescent="0.25">
      <c r="H8" s="102" t="s">
        <v>86</v>
      </c>
      <c r="I8" s="102"/>
      <c r="J8" s="102"/>
      <c r="K8" s="102"/>
      <c r="L8" s="53" t="s">
        <v>87</v>
      </c>
      <c r="M8" s="54" t="s">
        <v>83</v>
      </c>
      <c r="N8" s="53" t="s">
        <v>84</v>
      </c>
    </row>
    <row r="9" spans="1:14" x14ac:dyDescent="0.25">
      <c r="A9" s="33" t="s">
        <v>88</v>
      </c>
      <c r="B9" s="27" t="s">
        <v>89</v>
      </c>
      <c r="C9" s="27" t="s">
        <v>90</v>
      </c>
      <c r="H9" s="102"/>
      <c r="I9" s="102"/>
      <c r="J9" s="102"/>
      <c r="K9" s="102"/>
    </row>
    <row r="10" spans="1:14" x14ac:dyDescent="0.25">
      <c r="A10" t="s">
        <v>91</v>
      </c>
      <c r="B10" s="55">
        <v>150000</v>
      </c>
      <c r="C10" s="56">
        <f>IF(B10&gt;$B$6,$B$7,0)</f>
        <v>1000</v>
      </c>
      <c r="H10" s="102"/>
      <c r="I10" s="102"/>
      <c r="J10" s="102"/>
      <c r="K10" s="102"/>
    </row>
    <row r="11" spans="1:14" x14ac:dyDescent="0.25">
      <c r="A11" t="s">
        <v>92</v>
      </c>
      <c r="B11" s="55">
        <v>97000</v>
      </c>
      <c r="C11" s="56">
        <f t="shared" ref="C11:C17" si="0">IF(B11&gt;$B$6,$B$7,0)</f>
        <v>0</v>
      </c>
      <c r="K11" s="57" t="s">
        <v>35</v>
      </c>
      <c r="L11" s="16"/>
      <c r="M11" s="16"/>
      <c r="N11" s="16"/>
    </row>
    <row r="12" spans="1:14" x14ac:dyDescent="0.25">
      <c r="A12" t="s">
        <v>93</v>
      </c>
      <c r="B12" s="55">
        <v>75000</v>
      </c>
      <c r="C12" s="56">
        <f t="shared" si="0"/>
        <v>0</v>
      </c>
      <c r="K12" s="57" t="s">
        <v>36</v>
      </c>
      <c r="L12" s="95" t="s">
        <v>94</v>
      </c>
      <c r="M12" s="95"/>
      <c r="N12" s="95"/>
    </row>
    <row r="13" spans="1:14" x14ac:dyDescent="0.25">
      <c r="A13" t="s">
        <v>95</v>
      </c>
      <c r="B13" s="55">
        <v>70000</v>
      </c>
      <c r="C13" s="56">
        <f t="shared" si="0"/>
        <v>0</v>
      </c>
    </row>
    <row r="14" spans="1:14" x14ac:dyDescent="0.25">
      <c r="A14" t="s">
        <v>96</v>
      </c>
      <c r="B14" s="55">
        <v>93000</v>
      </c>
      <c r="C14" s="56">
        <f t="shared" si="0"/>
        <v>0</v>
      </c>
    </row>
    <row r="15" spans="1:14" x14ac:dyDescent="0.25">
      <c r="A15" t="s">
        <v>97</v>
      </c>
      <c r="B15" s="55">
        <v>113000</v>
      </c>
      <c r="C15" s="56">
        <f t="shared" si="0"/>
        <v>1000</v>
      </c>
    </row>
    <row r="16" spans="1:14" x14ac:dyDescent="0.25">
      <c r="A16" t="s">
        <v>98</v>
      </c>
      <c r="B16" s="55">
        <v>127000</v>
      </c>
      <c r="C16" s="56">
        <f t="shared" si="0"/>
        <v>1000</v>
      </c>
    </row>
    <row r="17" spans="1:5" x14ac:dyDescent="0.25">
      <c r="A17" t="s">
        <v>99</v>
      </c>
      <c r="B17" s="55">
        <v>103000</v>
      </c>
      <c r="C17" s="56">
        <f t="shared" si="0"/>
        <v>1000</v>
      </c>
    </row>
    <row r="18" spans="1:5" ht="15.75" thickBot="1" x14ac:dyDescent="0.3">
      <c r="A18" s="33" t="s">
        <v>35</v>
      </c>
      <c r="B18" s="58">
        <f>SUM(B10:B17)</f>
        <v>828000</v>
      </c>
      <c r="C18" s="58"/>
    </row>
    <row r="19" spans="1:5" ht="15.75" thickTop="1" x14ac:dyDescent="0.25"/>
    <row r="21" spans="1:5" x14ac:dyDescent="0.25">
      <c r="A21" s="33" t="s">
        <v>100</v>
      </c>
    </row>
    <row r="22" spans="1:5" x14ac:dyDescent="0.25">
      <c r="A22" t="s">
        <v>101</v>
      </c>
    </row>
    <row r="23" spans="1:5" x14ac:dyDescent="0.25">
      <c r="A23" t="s">
        <v>102</v>
      </c>
    </row>
    <row r="24" spans="1:5" x14ac:dyDescent="0.25">
      <c r="A24" s="59" t="s">
        <v>103</v>
      </c>
    </row>
    <row r="25" spans="1:5" x14ac:dyDescent="0.25">
      <c r="A25" s="33"/>
    </row>
    <row r="26" spans="1:5" x14ac:dyDescent="0.25">
      <c r="A26" s="60" t="s">
        <v>104</v>
      </c>
    </row>
    <row r="28" spans="1:5" x14ac:dyDescent="0.25">
      <c r="A28" s="33"/>
      <c r="B28" s="33"/>
      <c r="C28" s="33"/>
      <c r="D28" s="33"/>
      <c r="E28" s="33"/>
    </row>
    <row r="30" spans="1:5" x14ac:dyDescent="0.25">
      <c r="A30" s="27"/>
      <c r="C30" s="33"/>
      <c r="D30" s="33"/>
      <c r="E30" s="33"/>
    </row>
    <row r="31" spans="1:5" x14ac:dyDescent="0.25">
      <c r="A31" s="61"/>
    </row>
    <row r="32" spans="1:5" x14ac:dyDescent="0.25">
      <c r="A32" s="61"/>
    </row>
    <row r="33" spans="1:5" x14ac:dyDescent="0.25">
      <c r="A33" s="61"/>
      <c r="E33" s="62"/>
    </row>
    <row r="35" spans="1:5" x14ac:dyDescent="0.25">
      <c r="B35" s="33"/>
      <c r="C35" s="33"/>
      <c r="D35" s="33"/>
      <c r="E35" s="33"/>
    </row>
  </sheetData>
  <mergeCells count="5">
    <mergeCell ref="H4:N4"/>
    <mergeCell ref="L5:N5"/>
    <mergeCell ref="H6:K7"/>
    <mergeCell ref="H8:K10"/>
    <mergeCell ref="L12:N12"/>
  </mergeCells>
  <pageMargins left="0.7" right="0.7" top="0.75" bottom="0.75" header="0.3" footer="0.3"/>
  <pageSetup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655E-F07D-4563-850D-C504F4BFE3B3}">
  <sheetPr>
    <tabColor theme="4" tint="0.59999389629810485"/>
  </sheetPr>
  <dimension ref="A1:E45"/>
  <sheetViews>
    <sheetView workbookViewId="0">
      <selection activeCell="E40" sqref="E40"/>
    </sheetView>
  </sheetViews>
  <sheetFormatPr defaultRowHeight="15" x14ac:dyDescent="0.25"/>
  <cols>
    <col min="1" max="1" width="16.42578125" customWidth="1"/>
    <col min="2" max="2" width="11.7109375" bestFit="1" customWidth="1"/>
    <col min="3" max="3" width="9.5703125" style="63" bestFit="1" customWidth="1"/>
    <col min="4" max="4" width="12" style="64" customWidth="1"/>
    <col min="5" max="5" width="10.28515625" bestFit="1" customWidth="1"/>
  </cols>
  <sheetData>
    <row r="1" spans="1:5" x14ac:dyDescent="0.25">
      <c r="A1" s="3" t="s">
        <v>105</v>
      </c>
    </row>
    <row r="2" spans="1:5" x14ac:dyDescent="0.25">
      <c r="A2" s="3" t="s">
        <v>106</v>
      </c>
    </row>
    <row r="3" spans="1:5" x14ac:dyDescent="0.25">
      <c r="A3" s="65" t="s">
        <v>107</v>
      </c>
    </row>
    <row r="5" spans="1:5" s="68" customFormat="1" ht="30" x14ac:dyDescent="0.25">
      <c r="A5" s="66" t="s">
        <v>108</v>
      </c>
      <c r="B5" s="66" t="s">
        <v>109</v>
      </c>
      <c r="C5" s="66" t="s">
        <v>110</v>
      </c>
      <c r="D5" s="67" t="s">
        <v>111</v>
      </c>
      <c r="E5" s="67" t="s">
        <v>112</v>
      </c>
    </row>
    <row r="6" spans="1:5" x14ac:dyDescent="0.25">
      <c r="A6" t="s">
        <v>113</v>
      </c>
      <c r="B6" t="s">
        <v>114</v>
      </c>
      <c r="C6" s="69">
        <v>40</v>
      </c>
      <c r="D6" s="70">
        <v>12</v>
      </c>
      <c r="E6" s="71">
        <f>C6*D6</f>
        <v>480</v>
      </c>
    </row>
    <row r="7" spans="1:5" x14ac:dyDescent="0.25">
      <c r="A7" t="s">
        <v>115</v>
      </c>
      <c r="B7" t="s">
        <v>116</v>
      </c>
      <c r="C7" s="69">
        <v>60</v>
      </c>
      <c r="D7" s="72">
        <v>10</v>
      </c>
      <c r="E7" s="73">
        <f t="shared" ref="E7:E35" si="0">C7*D7</f>
        <v>600</v>
      </c>
    </row>
    <row r="8" spans="1:5" x14ac:dyDescent="0.25">
      <c r="A8" t="s">
        <v>117</v>
      </c>
      <c r="B8" t="s">
        <v>116</v>
      </c>
      <c r="C8" s="69">
        <v>20</v>
      </c>
      <c r="D8" s="72">
        <v>70</v>
      </c>
      <c r="E8" s="73">
        <f t="shared" si="0"/>
        <v>1400</v>
      </c>
    </row>
    <row r="9" spans="1:5" x14ac:dyDescent="0.25">
      <c r="A9" t="s">
        <v>118</v>
      </c>
      <c r="B9" t="s">
        <v>114</v>
      </c>
      <c r="C9" s="69">
        <v>10</v>
      </c>
      <c r="D9" s="72">
        <v>50</v>
      </c>
      <c r="E9" s="73">
        <f t="shared" si="0"/>
        <v>500</v>
      </c>
    </row>
    <row r="10" spans="1:5" x14ac:dyDescent="0.25">
      <c r="A10" t="s">
        <v>117</v>
      </c>
      <c r="B10" t="s">
        <v>119</v>
      </c>
      <c r="C10" s="69">
        <v>5</v>
      </c>
      <c r="D10" s="72">
        <v>100</v>
      </c>
      <c r="E10" s="73">
        <f t="shared" si="0"/>
        <v>500</v>
      </c>
    </row>
    <row r="11" spans="1:5" x14ac:dyDescent="0.25">
      <c r="A11" t="s">
        <v>120</v>
      </c>
      <c r="B11" t="s">
        <v>116</v>
      </c>
      <c r="C11" s="69">
        <v>30</v>
      </c>
      <c r="D11" s="72">
        <v>10</v>
      </c>
      <c r="E11" s="73">
        <f t="shared" si="0"/>
        <v>300</v>
      </c>
    </row>
    <row r="12" spans="1:5" x14ac:dyDescent="0.25">
      <c r="A12" t="s">
        <v>121</v>
      </c>
      <c r="B12" t="s">
        <v>116</v>
      </c>
      <c r="C12" s="69">
        <v>20</v>
      </c>
      <c r="D12" s="72">
        <v>50</v>
      </c>
      <c r="E12" s="73">
        <f t="shared" si="0"/>
        <v>1000</v>
      </c>
    </row>
    <row r="13" spans="1:5" x14ac:dyDescent="0.25">
      <c r="A13" t="s">
        <v>122</v>
      </c>
      <c r="B13" t="s">
        <v>119</v>
      </c>
      <c r="C13" s="69">
        <v>10</v>
      </c>
      <c r="D13" s="72">
        <v>100</v>
      </c>
      <c r="E13" s="73">
        <f t="shared" si="0"/>
        <v>1000</v>
      </c>
    </row>
    <row r="14" spans="1:5" x14ac:dyDescent="0.25">
      <c r="A14" t="s">
        <v>123</v>
      </c>
      <c r="B14" t="s">
        <v>116</v>
      </c>
      <c r="C14" s="69">
        <v>6</v>
      </c>
      <c r="D14" s="72">
        <v>300</v>
      </c>
      <c r="E14" s="73">
        <f t="shared" si="0"/>
        <v>1800</v>
      </c>
    </row>
    <row r="15" spans="1:5" x14ac:dyDescent="0.25">
      <c r="A15" t="s">
        <v>124</v>
      </c>
      <c r="B15" t="s">
        <v>125</v>
      </c>
      <c r="C15" s="69">
        <v>5</v>
      </c>
      <c r="D15" s="72">
        <v>100</v>
      </c>
      <c r="E15" s="73">
        <f t="shared" si="0"/>
        <v>500</v>
      </c>
    </row>
    <row r="16" spans="1:5" x14ac:dyDescent="0.25">
      <c r="A16" t="s">
        <v>126</v>
      </c>
      <c r="B16" t="s">
        <v>114</v>
      </c>
      <c r="C16" s="69">
        <v>25</v>
      </c>
      <c r="D16" s="72">
        <v>50</v>
      </c>
      <c r="E16" s="73">
        <f t="shared" si="0"/>
        <v>1250</v>
      </c>
    </row>
    <row r="17" spans="1:5" x14ac:dyDescent="0.25">
      <c r="A17" t="s">
        <v>113</v>
      </c>
      <c r="B17" t="s">
        <v>119</v>
      </c>
      <c r="C17" s="69">
        <v>5</v>
      </c>
      <c r="D17" s="72">
        <v>100</v>
      </c>
      <c r="E17" s="73">
        <f t="shared" si="0"/>
        <v>500</v>
      </c>
    </row>
    <row r="18" spans="1:5" x14ac:dyDescent="0.25">
      <c r="A18" t="s">
        <v>115</v>
      </c>
      <c r="B18" t="s">
        <v>116</v>
      </c>
      <c r="C18" s="69">
        <v>30</v>
      </c>
      <c r="D18" s="72">
        <v>10</v>
      </c>
      <c r="E18" s="73">
        <f t="shared" si="0"/>
        <v>300</v>
      </c>
    </row>
    <row r="19" spans="1:5" x14ac:dyDescent="0.25">
      <c r="A19" t="s">
        <v>127</v>
      </c>
      <c r="B19" t="s">
        <v>125</v>
      </c>
      <c r="C19" s="69">
        <v>10</v>
      </c>
      <c r="D19" s="72">
        <v>50</v>
      </c>
      <c r="E19" s="73">
        <f t="shared" si="0"/>
        <v>500</v>
      </c>
    </row>
    <row r="20" spans="1:5" x14ac:dyDescent="0.25">
      <c r="A20" t="s">
        <v>118</v>
      </c>
      <c r="B20" t="s">
        <v>116</v>
      </c>
      <c r="C20" s="69">
        <v>40</v>
      </c>
      <c r="D20" s="72">
        <v>20</v>
      </c>
      <c r="E20" s="73">
        <f t="shared" si="0"/>
        <v>800</v>
      </c>
    </row>
    <row r="21" spans="1:5" x14ac:dyDescent="0.25">
      <c r="A21" t="s">
        <v>117</v>
      </c>
      <c r="B21" t="s">
        <v>119</v>
      </c>
      <c r="C21" s="69">
        <v>10</v>
      </c>
      <c r="D21" s="72">
        <v>200</v>
      </c>
      <c r="E21" s="73">
        <f t="shared" si="0"/>
        <v>2000</v>
      </c>
    </row>
    <row r="22" spans="1:5" x14ac:dyDescent="0.25">
      <c r="A22" t="s">
        <v>120</v>
      </c>
      <c r="B22" t="s">
        <v>114</v>
      </c>
      <c r="C22" s="69">
        <v>8</v>
      </c>
      <c r="D22" s="72">
        <v>40</v>
      </c>
      <c r="E22" s="73">
        <f t="shared" si="0"/>
        <v>320</v>
      </c>
    </row>
    <row r="23" spans="1:5" x14ac:dyDescent="0.25">
      <c r="A23" t="s">
        <v>121</v>
      </c>
      <c r="B23" t="s">
        <v>125</v>
      </c>
      <c r="C23" s="69">
        <v>12</v>
      </c>
      <c r="D23" s="72">
        <v>100</v>
      </c>
      <c r="E23" s="73">
        <f t="shared" si="0"/>
        <v>1200</v>
      </c>
    </row>
    <row r="24" spans="1:5" x14ac:dyDescent="0.25">
      <c r="A24" t="s">
        <v>122</v>
      </c>
      <c r="B24" t="s">
        <v>116</v>
      </c>
      <c r="C24" s="69">
        <v>8</v>
      </c>
      <c r="D24" s="72">
        <v>20</v>
      </c>
      <c r="E24" s="73">
        <f t="shared" si="0"/>
        <v>160</v>
      </c>
    </row>
    <row r="25" spans="1:5" x14ac:dyDescent="0.25">
      <c r="A25" t="s">
        <v>124</v>
      </c>
      <c r="B25" t="s">
        <v>119</v>
      </c>
      <c r="C25" s="69">
        <v>10</v>
      </c>
      <c r="D25" s="72">
        <v>50</v>
      </c>
      <c r="E25" s="73">
        <f t="shared" si="0"/>
        <v>500</v>
      </c>
    </row>
    <row r="26" spans="1:5" x14ac:dyDescent="0.25">
      <c r="A26" t="s">
        <v>113</v>
      </c>
      <c r="B26" t="s">
        <v>114</v>
      </c>
      <c r="C26" s="69">
        <v>20</v>
      </c>
      <c r="D26" s="72">
        <v>100</v>
      </c>
      <c r="E26" s="73">
        <f t="shared" si="0"/>
        <v>2000</v>
      </c>
    </row>
    <row r="27" spans="1:5" x14ac:dyDescent="0.25">
      <c r="A27" t="s">
        <v>115</v>
      </c>
      <c r="B27" t="s">
        <v>125</v>
      </c>
      <c r="C27" s="69">
        <v>15</v>
      </c>
      <c r="D27" s="72">
        <v>100</v>
      </c>
      <c r="E27" s="73">
        <f t="shared" si="0"/>
        <v>1500</v>
      </c>
    </row>
    <row r="28" spans="1:5" x14ac:dyDescent="0.25">
      <c r="A28" t="s">
        <v>127</v>
      </c>
      <c r="B28" t="s">
        <v>114</v>
      </c>
      <c r="C28" s="69">
        <v>40</v>
      </c>
      <c r="D28" s="72">
        <v>120</v>
      </c>
      <c r="E28" s="73">
        <f t="shared" si="0"/>
        <v>4800</v>
      </c>
    </row>
    <row r="29" spans="1:5" x14ac:dyDescent="0.25">
      <c r="A29" t="s">
        <v>118</v>
      </c>
      <c r="B29" t="s">
        <v>119</v>
      </c>
      <c r="C29" s="69">
        <v>50</v>
      </c>
      <c r="D29" s="72">
        <v>110</v>
      </c>
      <c r="E29" s="73">
        <f t="shared" si="0"/>
        <v>5500</v>
      </c>
    </row>
    <row r="30" spans="1:5" x14ac:dyDescent="0.25">
      <c r="A30" t="s">
        <v>117</v>
      </c>
      <c r="B30" t="s">
        <v>125</v>
      </c>
      <c r="C30" s="69">
        <v>10</v>
      </c>
      <c r="D30" s="72">
        <v>200</v>
      </c>
      <c r="E30" s="73">
        <f t="shared" si="0"/>
        <v>2000</v>
      </c>
    </row>
    <row r="31" spans="1:5" x14ac:dyDescent="0.25">
      <c r="A31" t="s">
        <v>120</v>
      </c>
      <c r="B31" t="s">
        <v>116</v>
      </c>
      <c r="C31" s="69">
        <v>12</v>
      </c>
      <c r="D31" s="72">
        <v>300</v>
      </c>
      <c r="E31" s="73">
        <f t="shared" si="0"/>
        <v>3600</v>
      </c>
    </row>
    <row r="32" spans="1:5" x14ac:dyDescent="0.25">
      <c r="A32" t="s">
        <v>124</v>
      </c>
      <c r="B32" t="s">
        <v>119</v>
      </c>
      <c r="C32" s="69">
        <v>30</v>
      </c>
      <c r="D32" s="72">
        <v>200</v>
      </c>
      <c r="E32" s="73">
        <f t="shared" si="0"/>
        <v>6000</v>
      </c>
    </row>
    <row r="33" spans="1:5" x14ac:dyDescent="0.25">
      <c r="A33" t="s">
        <v>122</v>
      </c>
      <c r="B33" t="s">
        <v>125</v>
      </c>
      <c r="C33" s="69">
        <v>20</v>
      </c>
      <c r="D33" s="72">
        <v>50</v>
      </c>
      <c r="E33" s="73">
        <f t="shared" si="0"/>
        <v>1000</v>
      </c>
    </row>
    <row r="34" spans="1:5" x14ac:dyDescent="0.25">
      <c r="A34" t="s">
        <v>123</v>
      </c>
      <c r="B34" t="s">
        <v>116</v>
      </c>
      <c r="C34" s="69">
        <v>10</v>
      </c>
      <c r="D34" s="72">
        <v>200</v>
      </c>
      <c r="E34" s="73">
        <f t="shared" si="0"/>
        <v>2000</v>
      </c>
    </row>
    <row r="35" spans="1:5" x14ac:dyDescent="0.25">
      <c r="A35" t="s">
        <v>121</v>
      </c>
      <c r="B35" t="s">
        <v>119</v>
      </c>
      <c r="C35" s="69">
        <v>6</v>
      </c>
      <c r="D35" s="72">
        <v>250</v>
      </c>
      <c r="E35" s="71">
        <f t="shared" si="0"/>
        <v>1500</v>
      </c>
    </row>
    <row r="38" spans="1:5" ht="30" x14ac:dyDescent="0.25">
      <c r="A38" s="74" t="s">
        <v>109</v>
      </c>
      <c r="B38" s="75" t="s">
        <v>128</v>
      </c>
      <c r="C38" s="74" t="s">
        <v>112</v>
      </c>
    </row>
    <row r="39" spans="1:5" x14ac:dyDescent="0.25">
      <c r="A39" t="s">
        <v>116</v>
      </c>
      <c r="B39">
        <f>COUNTIF(Suppliers,A39)</f>
        <v>10</v>
      </c>
      <c r="C39">
        <f>SUMIF(Suppliers,A39,CostOfInventory)</f>
        <v>11960</v>
      </c>
    </row>
    <row r="40" spans="1:5" x14ac:dyDescent="0.25">
      <c r="A40" t="s">
        <v>119</v>
      </c>
      <c r="B40">
        <f>COUNTIF(Suppliers,A40)</f>
        <v>8</v>
      </c>
      <c r="C40">
        <f>SUMIF(Suppliers,A40,CostOfInventory)</f>
        <v>17500</v>
      </c>
    </row>
    <row r="41" spans="1:5" x14ac:dyDescent="0.25">
      <c r="A41" t="s">
        <v>114</v>
      </c>
      <c r="B41">
        <f>COUNTIF(Suppliers,A41)</f>
        <v>6</v>
      </c>
      <c r="C41">
        <f>SUMIF(Suppliers,A41,CostOfInventory)</f>
        <v>9350</v>
      </c>
    </row>
    <row r="42" spans="1:5" x14ac:dyDescent="0.25">
      <c r="A42" t="s">
        <v>125</v>
      </c>
      <c r="B42">
        <f>COUNTIF(Suppliers,A42)</f>
        <v>6</v>
      </c>
      <c r="C42">
        <f>SUMIF(Suppliers,A42,CostOfInventory)</f>
        <v>6700</v>
      </c>
    </row>
    <row r="43" spans="1:5" x14ac:dyDescent="0.25">
      <c r="C43"/>
    </row>
    <row r="45" spans="1:5" x14ac:dyDescent="0.25">
      <c r="A45" s="60" t="s">
        <v>104</v>
      </c>
      <c r="B45" s="76"/>
    </row>
  </sheetData>
  <pageMargins left="0.7" right="0.7" top="0.75" bottom="0.75" header="0.3" footer="0.3"/>
  <pageSetup orientation="portrait"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D6CE-A2CB-4848-BE63-5D481371EFC7}">
  <sheetPr>
    <tabColor rgb="FFFFFF00"/>
  </sheetPr>
  <dimension ref="A1:H27"/>
  <sheetViews>
    <sheetView workbookViewId="0">
      <selection activeCell="F21" sqref="F21"/>
    </sheetView>
  </sheetViews>
  <sheetFormatPr defaultRowHeight="15" x14ac:dyDescent="0.25"/>
  <cols>
    <col min="1" max="1" width="17.7109375" customWidth="1"/>
    <col min="2" max="2" width="12.28515625" bestFit="1" customWidth="1"/>
    <col min="3" max="3" width="12" bestFit="1" customWidth="1"/>
  </cols>
  <sheetData>
    <row r="1" spans="1:8" ht="18.75" x14ac:dyDescent="0.3">
      <c r="A1" s="49" t="s">
        <v>129</v>
      </c>
    </row>
    <row r="3" spans="1:8" x14ac:dyDescent="0.25">
      <c r="A3" t="s">
        <v>130</v>
      </c>
      <c r="B3" s="77">
        <v>0.05</v>
      </c>
      <c r="H3" s="33" t="s">
        <v>131</v>
      </c>
    </row>
    <row r="4" spans="1:8" x14ac:dyDescent="0.25">
      <c r="A4" t="s">
        <v>132</v>
      </c>
      <c r="B4" s="77">
        <v>0.1</v>
      </c>
    </row>
    <row r="5" spans="1:8" x14ac:dyDescent="0.25">
      <c r="A5" t="s">
        <v>133</v>
      </c>
      <c r="B5" s="78">
        <v>100000</v>
      </c>
      <c r="H5" s="79" t="s">
        <v>134</v>
      </c>
    </row>
    <row r="7" spans="1:8" x14ac:dyDescent="0.25">
      <c r="A7" s="33" t="s">
        <v>88</v>
      </c>
      <c r="B7" s="27" t="s">
        <v>89</v>
      </c>
      <c r="C7" s="27" t="s">
        <v>135</v>
      </c>
    </row>
    <row r="8" spans="1:8" x14ac:dyDescent="0.25">
      <c r="A8" t="s">
        <v>91</v>
      </c>
      <c r="B8" s="80">
        <v>150000</v>
      </c>
      <c r="C8" s="80">
        <f>IF(B8&gt;=$B$5,B8*$B$4,B8*$B$3)</f>
        <v>15000</v>
      </c>
    </row>
    <row r="9" spans="1:8" x14ac:dyDescent="0.25">
      <c r="A9" t="s">
        <v>92</v>
      </c>
      <c r="B9" s="80">
        <v>97000</v>
      </c>
      <c r="C9" s="80">
        <f t="shared" ref="C9:C15" si="0">IF(B9&gt;=$B$5,B9*$B$4,B9*$B$3)</f>
        <v>4850</v>
      </c>
    </row>
    <row r="10" spans="1:8" x14ac:dyDescent="0.25">
      <c r="A10" t="s">
        <v>93</v>
      </c>
      <c r="B10" s="80">
        <v>75000</v>
      </c>
      <c r="C10" s="80">
        <f t="shared" si="0"/>
        <v>3750</v>
      </c>
    </row>
    <row r="11" spans="1:8" x14ac:dyDescent="0.25">
      <c r="A11" t="s">
        <v>95</v>
      </c>
      <c r="B11" s="80">
        <v>70000</v>
      </c>
      <c r="C11" s="80">
        <f t="shared" si="0"/>
        <v>3500</v>
      </c>
    </row>
    <row r="12" spans="1:8" x14ac:dyDescent="0.25">
      <c r="A12" t="s">
        <v>96</v>
      </c>
      <c r="B12" s="80">
        <v>93000</v>
      </c>
      <c r="C12" s="80">
        <f t="shared" si="0"/>
        <v>4650</v>
      </c>
    </row>
    <row r="13" spans="1:8" x14ac:dyDescent="0.25">
      <c r="A13" t="s">
        <v>97</v>
      </c>
      <c r="B13" s="80">
        <v>113000</v>
      </c>
      <c r="C13" s="80">
        <f t="shared" si="0"/>
        <v>11300</v>
      </c>
    </row>
    <row r="14" spans="1:8" x14ac:dyDescent="0.25">
      <c r="A14" t="s">
        <v>98</v>
      </c>
      <c r="B14" s="80">
        <v>127000</v>
      </c>
      <c r="C14" s="80">
        <f t="shared" si="0"/>
        <v>12700</v>
      </c>
    </row>
    <row r="15" spans="1:8" x14ac:dyDescent="0.25">
      <c r="A15" t="s">
        <v>99</v>
      </c>
      <c r="B15" s="80">
        <v>103000</v>
      </c>
      <c r="C15" s="80">
        <f t="shared" si="0"/>
        <v>10300</v>
      </c>
    </row>
    <row r="16" spans="1:8" ht="15.75" thickBot="1" x14ac:dyDescent="0.3">
      <c r="A16" s="33" t="s">
        <v>35</v>
      </c>
      <c r="B16" s="58">
        <f>SUM(B8:B15)</f>
        <v>828000</v>
      </c>
      <c r="C16" s="58">
        <f>SUM(C8:C15)</f>
        <v>66050</v>
      </c>
    </row>
    <row r="17" spans="1:1" ht="15.75" thickTop="1" x14ac:dyDescent="0.25"/>
    <row r="20" spans="1:1" x14ac:dyDescent="0.25">
      <c r="A20" s="33" t="s">
        <v>136</v>
      </c>
    </row>
    <row r="21" spans="1:1" x14ac:dyDescent="0.25">
      <c r="A21" t="s">
        <v>137</v>
      </c>
    </row>
    <row r="22" spans="1:1" x14ac:dyDescent="0.25">
      <c r="A22" t="s">
        <v>138</v>
      </c>
    </row>
    <row r="23" spans="1:1" x14ac:dyDescent="0.25">
      <c r="A23" t="s">
        <v>139</v>
      </c>
    </row>
    <row r="24" spans="1:1" x14ac:dyDescent="0.25">
      <c r="A24" t="s">
        <v>140</v>
      </c>
    </row>
    <row r="25" spans="1:1" x14ac:dyDescent="0.25">
      <c r="A25" s="59" t="s">
        <v>141</v>
      </c>
    </row>
    <row r="27" spans="1:1" x14ac:dyDescent="0.25">
      <c r="A27" s="33"/>
    </row>
  </sheetData>
  <pageMargins left="0.7" right="0.7" top="0.75" bottom="0.75" header="0.3" footer="0.3"/>
  <pageSetup orientation="portrait"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4A0AD-AB6C-4FCC-8C92-E71E91671D03}">
  <sheetPr>
    <tabColor rgb="FFFFFF00"/>
  </sheetPr>
  <dimension ref="A1:H25"/>
  <sheetViews>
    <sheetView workbookViewId="0">
      <selection activeCell="D7" sqref="D7:D14"/>
    </sheetView>
  </sheetViews>
  <sheetFormatPr defaultRowHeight="15" x14ac:dyDescent="0.25"/>
  <cols>
    <col min="1" max="1" width="17.85546875" customWidth="1"/>
    <col min="2" max="2" width="10.28515625" bestFit="1" customWidth="1"/>
    <col min="3" max="3" width="7.7109375" bestFit="1" customWidth="1"/>
    <col min="4" max="4" width="12" customWidth="1"/>
  </cols>
  <sheetData>
    <row r="1" spans="1:8" ht="18.75" x14ac:dyDescent="0.3">
      <c r="A1" s="49" t="s">
        <v>142</v>
      </c>
    </row>
    <row r="3" spans="1:8" x14ac:dyDescent="0.25">
      <c r="A3" t="s">
        <v>143</v>
      </c>
      <c r="B3" s="77">
        <v>0.05</v>
      </c>
      <c r="H3" s="33" t="s">
        <v>144</v>
      </c>
    </row>
    <row r="4" spans="1:8" x14ac:dyDescent="0.25">
      <c r="A4" t="s">
        <v>145</v>
      </c>
      <c r="B4" s="77">
        <v>0.1</v>
      </c>
    </row>
    <row r="5" spans="1:8" x14ac:dyDescent="0.25">
      <c r="H5" s="79" t="s">
        <v>146</v>
      </c>
    </row>
    <row r="6" spans="1:8" ht="26.25" x14ac:dyDescent="0.25">
      <c r="A6" s="33" t="s">
        <v>88</v>
      </c>
      <c r="B6" s="27" t="s">
        <v>147</v>
      </c>
      <c r="C6" s="81" t="s">
        <v>148</v>
      </c>
      <c r="D6" s="81" t="s">
        <v>149</v>
      </c>
    </row>
    <row r="7" spans="1:8" x14ac:dyDescent="0.25">
      <c r="A7" t="s">
        <v>91</v>
      </c>
      <c r="B7" s="82" t="s">
        <v>150</v>
      </c>
      <c r="C7" s="80">
        <v>10</v>
      </c>
      <c r="D7" s="4">
        <f>IF(B7="Y",C7*$B$4+C7,C7*$B$3+C7)</f>
        <v>11</v>
      </c>
    </row>
    <row r="8" spans="1:8" x14ac:dyDescent="0.25">
      <c r="A8" t="s">
        <v>92</v>
      </c>
      <c r="B8" s="82" t="s">
        <v>151</v>
      </c>
      <c r="C8" s="80">
        <v>10</v>
      </c>
      <c r="D8" s="4">
        <f t="shared" ref="D8:D14" si="0">IF(B8="Y",C8*$B$4+C8,C8*$B$3+C8)</f>
        <v>10.5</v>
      </c>
    </row>
    <row r="9" spans="1:8" x14ac:dyDescent="0.25">
      <c r="A9" t="s">
        <v>93</v>
      </c>
      <c r="B9" s="82" t="s">
        <v>150</v>
      </c>
      <c r="C9" s="80">
        <v>9.5</v>
      </c>
      <c r="D9" s="4">
        <f t="shared" si="0"/>
        <v>10.45</v>
      </c>
    </row>
    <row r="10" spans="1:8" x14ac:dyDescent="0.25">
      <c r="A10" t="s">
        <v>95</v>
      </c>
      <c r="B10" s="82" t="s">
        <v>151</v>
      </c>
      <c r="C10" s="80">
        <v>10.25</v>
      </c>
      <c r="D10" s="4">
        <f t="shared" si="0"/>
        <v>10.762499999999999</v>
      </c>
    </row>
    <row r="11" spans="1:8" x14ac:dyDescent="0.25">
      <c r="A11" t="s">
        <v>96</v>
      </c>
      <c r="B11" s="82" t="s">
        <v>150</v>
      </c>
      <c r="C11" s="80">
        <v>7.83</v>
      </c>
      <c r="D11" s="4">
        <f t="shared" si="0"/>
        <v>8.6129999999999995</v>
      </c>
    </row>
    <row r="12" spans="1:8" x14ac:dyDescent="0.25">
      <c r="A12" t="s">
        <v>97</v>
      </c>
      <c r="B12" s="82" t="s">
        <v>150</v>
      </c>
      <c r="C12" s="80">
        <v>9.73</v>
      </c>
      <c r="D12" s="4">
        <f t="shared" si="0"/>
        <v>10.703000000000001</v>
      </c>
    </row>
    <row r="13" spans="1:8" x14ac:dyDescent="0.25">
      <c r="A13" t="s">
        <v>98</v>
      </c>
      <c r="B13" s="82" t="s">
        <v>151</v>
      </c>
      <c r="C13" s="80">
        <v>11.25</v>
      </c>
      <c r="D13" s="4">
        <f t="shared" si="0"/>
        <v>11.8125</v>
      </c>
    </row>
    <row r="14" spans="1:8" x14ac:dyDescent="0.25">
      <c r="A14" t="s">
        <v>99</v>
      </c>
      <c r="B14" s="82" t="s">
        <v>151</v>
      </c>
      <c r="C14" s="80">
        <v>8.9499999999999993</v>
      </c>
      <c r="D14" s="4">
        <f t="shared" si="0"/>
        <v>9.3974999999999991</v>
      </c>
    </row>
    <row r="19" spans="1:1" x14ac:dyDescent="0.25">
      <c r="A19" s="33" t="s">
        <v>152</v>
      </c>
    </row>
    <row r="20" spans="1:1" x14ac:dyDescent="0.25">
      <c r="A20" t="s">
        <v>153</v>
      </c>
    </row>
    <row r="21" spans="1:1" x14ac:dyDescent="0.25">
      <c r="A21" t="s">
        <v>154</v>
      </c>
    </row>
    <row r="22" spans="1:1" x14ac:dyDescent="0.25">
      <c r="A22" t="s">
        <v>155</v>
      </c>
    </row>
    <row r="23" spans="1:1" x14ac:dyDescent="0.25">
      <c r="A23" s="59" t="s">
        <v>156</v>
      </c>
    </row>
    <row r="25" spans="1:1" x14ac:dyDescent="0.25">
      <c r="A25" s="33"/>
    </row>
  </sheetData>
  <pageMargins left="0.7" right="0.7" top="0.75" bottom="0.75" header="0.3" footer="0.3"/>
  <pageSetup orientation="portrait"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1842-C903-484B-8A52-F6B3B872444D}">
  <sheetPr>
    <tabColor rgb="FF00B0F0"/>
  </sheetPr>
  <dimension ref="A1:F15"/>
  <sheetViews>
    <sheetView zoomScaleNormal="100" workbookViewId="0">
      <selection activeCell="F10" sqref="F10"/>
    </sheetView>
  </sheetViews>
  <sheetFormatPr defaultRowHeight="15" x14ac:dyDescent="0.25"/>
  <cols>
    <col min="1" max="1" width="18.42578125" customWidth="1"/>
    <col min="2" max="2" width="14.85546875" bestFit="1" customWidth="1"/>
    <col min="3" max="3" width="10.5703125" bestFit="1" customWidth="1"/>
    <col min="4" max="4" width="17.5703125" customWidth="1"/>
  </cols>
  <sheetData>
    <row r="1" spans="1:6" x14ac:dyDescent="0.25">
      <c r="A1" t="s">
        <v>164</v>
      </c>
    </row>
    <row r="2" spans="1:6" x14ac:dyDescent="0.25">
      <c r="A2" s="111" t="s">
        <v>167</v>
      </c>
      <c r="B2" s="111"/>
      <c r="C2" s="111"/>
      <c r="D2" s="111"/>
      <c r="E2" s="111"/>
    </row>
    <row r="3" spans="1:6" ht="15.75" thickBot="1" x14ac:dyDescent="0.3"/>
    <row r="4" spans="1:6" ht="20.25" thickBot="1" x14ac:dyDescent="0.35">
      <c r="A4" s="116" t="s">
        <v>172</v>
      </c>
      <c r="B4" s="117"/>
      <c r="C4" s="117"/>
      <c r="D4" s="118"/>
      <c r="E4" s="112"/>
      <c r="F4" s="112"/>
    </row>
    <row r="5" spans="1:6" x14ac:dyDescent="0.25">
      <c r="A5" s="115" t="s">
        <v>173</v>
      </c>
      <c r="B5" s="115" t="s">
        <v>174</v>
      </c>
      <c r="C5" s="115" t="s">
        <v>175</v>
      </c>
      <c r="D5" s="115" t="s">
        <v>176</v>
      </c>
    </row>
    <row r="6" spans="1:6" x14ac:dyDescent="0.25">
      <c r="A6" s="16" t="s">
        <v>168</v>
      </c>
      <c r="B6" s="114">
        <v>750</v>
      </c>
      <c r="C6" s="114">
        <f>(B6*$B$13)+$B$14</f>
        <v>1600</v>
      </c>
      <c r="D6" s="114">
        <f>C6*(1-$B$15)</f>
        <v>1360</v>
      </c>
    </row>
    <row r="7" spans="1:6" x14ac:dyDescent="0.25">
      <c r="A7" s="16" t="s">
        <v>169</v>
      </c>
      <c r="B7" s="114">
        <v>120</v>
      </c>
      <c r="C7" s="114">
        <f t="shared" ref="C7:C10" si="0">(B7*$B$13)+$B$14</f>
        <v>340</v>
      </c>
      <c r="D7" s="114">
        <f>C7*(1-$B$15)</f>
        <v>289</v>
      </c>
    </row>
    <row r="8" spans="1:6" x14ac:dyDescent="0.25">
      <c r="A8" s="16" t="s">
        <v>171</v>
      </c>
      <c r="B8" s="114">
        <v>600</v>
      </c>
      <c r="C8" s="114">
        <f t="shared" si="0"/>
        <v>1300</v>
      </c>
      <c r="D8" s="114">
        <f>C8*(1-$B$15)</f>
        <v>1105</v>
      </c>
    </row>
    <row r="9" spans="1:6" x14ac:dyDescent="0.25">
      <c r="A9" s="16" t="s">
        <v>170</v>
      </c>
      <c r="B9" s="114">
        <v>500</v>
      </c>
      <c r="C9" s="114">
        <f t="shared" si="0"/>
        <v>1100</v>
      </c>
      <c r="D9" s="114">
        <f>C9*(1-$B$15)</f>
        <v>935</v>
      </c>
    </row>
    <row r="10" spans="1:6" x14ac:dyDescent="0.25">
      <c r="A10" s="16" t="s">
        <v>177</v>
      </c>
      <c r="B10" s="114">
        <v>900</v>
      </c>
      <c r="C10" s="114">
        <f t="shared" si="0"/>
        <v>1900</v>
      </c>
      <c r="D10" s="114">
        <f>C10*(1-$B$15)</f>
        <v>1615</v>
      </c>
    </row>
    <row r="11" spans="1:6" ht="15.75" thickBot="1" x14ac:dyDescent="0.3"/>
    <row r="12" spans="1:6" ht="15.75" thickBot="1" x14ac:dyDescent="0.3">
      <c r="A12" s="121" t="s">
        <v>178</v>
      </c>
      <c r="B12" s="122"/>
    </row>
    <row r="13" spans="1:6" x14ac:dyDescent="0.25">
      <c r="A13" s="113" t="s">
        <v>179</v>
      </c>
      <c r="B13" s="120">
        <v>2</v>
      </c>
    </row>
    <row r="14" spans="1:6" x14ac:dyDescent="0.25">
      <c r="A14" s="16" t="s">
        <v>180</v>
      </c>
      <c r="B14" s="114">
        <v>100</v>
      </c>
    </row>
    <row r="15" spans="1:6" x14ac:dyDescent="0.25">
      <c r="A15" s="16" t="s">
        <v>181</v>
      </c>
      <c r="B15" s="119">
        <v>0.15</v>
      </c>
    </row>
  </sheetData>
  <mergeCells count="2">
    <mergeCell ref="A4:D4"/>
    <mergeCell ref="A12:B12"/>
  </mergeCells>
  <pageMargins left="0.7" right="0.7" top="0.75" bottom="0.75" header="0.3" footer="0.3"/>
  <pageSetup orientation="portrait" verticalDpi="300" r:id="rId1"/>
  <headerFooter>
    <oddHeader>&amp;CJesse Xiong</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998A-9502-4783-9939-51B926C5805E}">
  <sheetPr>
    <tabColor rgb="FF00B0F0"/>
  </sheetPr>
  <dimension ref="A1:H18"/>
  <sheetViews>
    <sheetView zoomScaleNormal="100" workbookViewId="0">
      <selection activeCell="G15" sqref="G15"/>
    </sheetView>
  </sheetViews>
  <sheetFormatPr defaultRowHeight="15" x14ac:dyDescent="0.25"/>
  <cols>
    <col min="1" max="1" width="10.85546875" customWidth="1"/>
    <col min="2" max="3" width="10.140625" bestFit="1" customWidth="1"/>
    <col min="4" max="4" width="17.140625" customWidth="1"/>
    <col min="5" max="5" width="10" customWidth="1"/>
    <col min="6" max="6" width="11" bestFit="1" customWidth="1"/>
    <col min="7" max="7" width="13.140625" bestFit="1" customWidth="1"/>
  </cols>
  <sheetData>
    <row r="1" spans="1:8" x14ac:dyDescent="0.25">
      <c r="A1" t="s">
        <v>164</v>
      </c>
    </row>
    <row r="2" spans="1:8" x14ac:dyDescent="0.25">
      <c r="A2" t="s">
        <v>182</v>
      </c>
    </row>
    <row r="3" spans="1:8" ht="15.75" thickBot="1" x14ac:dyDescent="0.3"/>
    <row r="4" spans="1:8" ht="20.25" thickBot="1" x14ac:dyDescent="0.35">
      <c r="A4" s="116" t="s">
        <v>183</v>
      </c>
      <c r="B4" s="117"/>
      <c r="C4" s="117"/>
      <c r="D4" s="117"/>
      <c r="E4" s="117"/>
      <c r="F4" s="117"/>
      <c r="G4" s="117"/>
      <c r="H4" s="118"/>
    </row>
    <row r="5" spans="1:8" ht="30" x14ac:dyDescent="0.25">
      <c r="A5" s="115" t="s">
        <v>184</v>
      </c>
      <c r="B5" s="115" t="s">
        <v>185</v>
      </c>
      <c r="C5" s="115" t="s">
        <v>186</v>
      </c>
      <c r="D5" s="125" t="s">
        <v>187</v>
      </c>
      <c r="E5" s="115" t="s">
        <v>188</v>
      </c>
      <c r="F5" s="115" t="s">
        <v>189</v>
      </c>
      <c r="G5" s="115" t="s">
        <v>190</v>
      </c>
      <c r="H5" s="128" t="s">
        <v>194</v>
      </c>
    </row>
    <row r="6" spans="1:8" x14ac:dyDescent="0.25">
      <c r="A6" s="16">
        <v>1</v>
      </c>
      <c r="B6" s="114">
        <v>54.76</v>
      </c>
      <c r="C6" s="114">
        <v>8</v>
      </c>
      <c r="D6" s="114">
        <f>B6+C6</f>
        <v>62.76</v>
      </c>
      <c r="E6" s="114">
        <f>D6*$B$16</f>
        <v>12.552</v>
      </c>
      <c r="F6" s="114">
        <f>E6*$B$17</f>
        <v>0.62760000000000005</v>
      </c>
      <c r="G6" s="114">
        <f>E6*$B$18</f>
        <v>1.8827999999999998</v>
      </c>
      <c r="H6" s="114">
        <f>E6-F6-G6</f>
        <v>10.041600000000001</v>
      </c>
    </row>
    <row r="7" spans="1:8" x14ac:dyDescent="0.25">
      <c r="A7" s="16">
        <v>2</v>
      </c>
      <c r="B7" s="114">
        <v>75.8</v>
      </c>
      <c r="C7" s="114">
        <v>9</v>
      </c>
      <c r="D7" s="114">
        <f t="shared" ref="D7:D13" si="0">B7+C7</f>
        <v>84.8</v>
      </c>
      <c r="E7" s="114">
        <f t="shared" ref="E7:E13" si="1">D7*$B$16</f>
        <v>16.96</v>
      </c>
      <c r="F7" s="114">
        <f t="shared" ref="F7:F13" si="2">E7*$B$17</f>
        <v>0.84800000000000009</v>
      </c>
      <c r="G7" s="114">
        <f t="shared" ref="G7:G13" si="3">E7*$B$18</f>
        <v>2.544</v>
      </c>
      <c r="H7" s="114">
        <f t="shared" ref="H7:H13" si="4">E7-F7-G7</f>
        <v>13.568000000000001</v>
      </c>
    </row>
    <row r="8" spans="1:8" x14ac:dyDescent="0.25">
      <c r="A8" s="16">
        <v>3</v>
      </c>
      <c r="B8" s="114">
        <v>48.9</v>
      </c>
      <c r="C8" s="114">
        <v>10</v>
      </c>
      <c r="D8" s="114">
        <f t="shared" si="0"/>
        <v>58.9</v>
      </c>
      <c r="E8" s="114">
        <f t="shared" si="1"/>
        <v>11.780000000000001</v>
      </c>
      <c r="F8" s="114">
        <f t="shared" si="2"/>
        <v>0.58900000000000008</v>
      </c>
      <c r="G8" s="114">
        <f t="shared" si="3"/>
        <v>1.7670000000000001</v>
      </c>
      <c r="H8" s="114">
        <f t="shared" si="4"/>
        <v>9.4240000000000013</v>
      </c>
    </row>
    <row r="9" spans="1:8" x14ac:dyDescent="0.25">
      <c r="A9" s="16">
        <v>4</v>
      </c>
      <c r="B9" s="114">
        <v>61.35</v>
      </c>
      <c r="C9" s="114">
        <v>7</v>
      </c>
      <c r="D9" s="114">
        <f t="shared" si="0"/>
        <v>68.349999999999994</v>
      </c>
      <c r="E9" s="114">
        <f t="shared" si="1"/>
        <v>13.67</v>
      </c>
      <c r="F9" s="114">
        <f t="shared" si="2"/>
        <v>0.6835</v>
      </c>
      <c r="G9" s="114">
        <f t="shared" si="3"/>
        <v>2.0505</v>
      </c>
      <c r="H9" s="114">
        <f t="shared" si="4"/>
        <v>10.936</v>
      </c>
    </row>
    <row r="10" spans="1:8" x14ac:dyDescent="0.25">
      <c r="A10" s="16">
        <v>5</v>
      </c>
      <c r="B10" s="114">
        <v>80.55</v>
      </c>
      <c r="C10" s="114">
        <v>6</v>
      </c>
      <c r="D10" s="114">
        <f t="shared" si="0"/>
        <v>86.55</v>
      </c>
      <c r="E10" s="114">
        <f t="shared" si="1"/>
        <v>17.309999999999999</v>
      </c>
      <c r="F10" s="114">
        <f t="shared" si="2"/>
        <v>0.86549999999999994</v>
      </c>
      <c r="G10" s="114">
        <f t="shared" si="3"/>
        <v>2.5964999999999998</v>
      </c>
      <c r="H10" s="114">
        <f t="shared" si="4"/>
        <v>13.847999999999999</v>
      </c>
    </row>
    <row r="11" spans="1:8" x14ac:dyDescent="0.25">
      <c r="A11" s="16">
        <v>6</v>
      </c>
      <c r="B11" s="114">
        <v>70.48</v>
      </c>
      <c r="C11" s="114">
        <v>5</v>
      </c>
      <c r="D11" s="114">
        <f t="shared" si="0"/>
        <v>75.48</v>
      </c>
      <c r="E11" s="114">
        <f t="shared" si="1"/>
        <v>15.096000000000002</v>
      </c>
      <c r="F11" s="114">
        <f t="shared" si="2"/>
        <v>0.75480000000000014</v>
      </c>
      <c r="G11" s="114">
        <f>E11*$B$18</f>
        <v>2.2644000000000002</v>
      </c>
      <c r="H11" s="114">
        <f t="shared" si="4"/>
        <v>12.076800000000002</v>
      </c>
    </row>
    <row r="12" spans="1:8" x14ac:dyDescent="0.25">
      <c r="A12" s="16">
        <v>7</v>
      </c>
      <c r="B12" s="114">
        <v>69.7</v>
      </c>
      <c r="C12" s="114">
        <v>6</v>
      </c>
      <c r="D12" s="114">
        <f t="shared" si="0"/>
        <v>75.7</v>
      </c>
      <c r="E12" s="114">
        <f t="shared" si="1"/>
        <v>15.14</v>
      </c>
      <c r="F12" s="114">
        <f t="shared" si="2"/>
        <v>0.75700000000000012</v>
      </c>
      <c r="G12" s="114">
        <f>E12*$B$18</f>
        <v>2.2709999999999999</v>
      </c>
      <c r="H12" s="114">
        <f t="shared" si="4"/>
        <v>12.112000000000002</v>
      </c>
    </row>
    <row r="13" spans="1:8" x14ac:dyDescent="0.25">
      <c r="A13" s="16">
        <v>8</v>
      </c>
      <c r="B13" s="114">
        <v>35.89</v>
      </c>
      <c r="C13" s="114">
        <v>4</v>
      </c>
      <c r="D13" s="114">
        <f t="shared" si="0"/>
        <v>39.89</v>
      </c>
      <c r="E13" s="114">
        <f t="shared" si="1"/>
        <v>7.9780000000000006</v>
      </c>
      <c r="F13" s="114">
        <f t="shared" si="2"/>
        <v>0.39890000000000003</v>
      </c>
      <c r="G13" s="114">
        <f>E13*$B$18</f>
        <v>1.1967000000000001</v>
      </c>
      <c r="H13" s="114">
        <f t="shared" si="4"/>
        <v>6.3824000000000005</v>
      </c>
    </row>
    <row r="14" spans="1:8" ht="15.75" thickBot="1" x14ac:dyDescent="0.3"/>
    <row r="15" spans="1:8" ht="15.75" thickBot="1" x14ac:dyDescent="0.3">
      <c r="A15" s="123" t="s">
        <v>178</v>
      </c>
      <c r="B15" s="124"/>
    </row>
    <row r="16" spans="1:8" x14ac:dyDescent="0.25">
      <c r="A16" s="113" t="s">
        <v>191</v>
      </c>
      <c r="B16" s="126">
        <v>0.2</v>
      </c>
    </row>
    <row r="17" spans="1:2" x14ac:dyDescent="0.25">
      <c r="A17" s="16" t="s">
        <v>192</v>
      </c>
      <c r="B17" s="127">
        <v>0.05</v>
      </c>
    </row>
    <row r="18" spans="1:2" x14ac:dyDescent="0.25">
      <c r="A18" s="16" t="s">
        <v>193</v>
      </c>
      <c r="B18" s="127">
        <v>0.15</v>
      </c>
    </row>
  </sheetData>
  <mergeCells count="2">
    <mergeCell ref="A4:H4"/>
    <mergeCell ref="A15:B15"/>
  </mergeCells>
  <pageMargins left="0.7" right="0.7" top="0.75" bottom="0.75" header="0.3" footer="0.3"/>
  <pageSetup scale="89" orientation="portrait" verticalDpi="300" r:id="rId1"/>
  <headerFooter>
    <oddHeader>&amp;CJesse Xiong</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Soft Drinks Data</vt:lpstr>
      <vt:lpstr>Age at Death</vt:lpstr>
      <vt:lpstr>Home Sales Data</vt:lpstr>
      <vt:lpstr>VLOOKUP1</vt:lpstr>
      <vt:lpstr>VLOOKUP2</vt:lpstr>
      <vt:lpstr>IF Bonus Calculation</vt:lpstr>
      <vt:lpstr>COUNTIF SUMIF</vt:lpstr>
      <vt:lpstr>Commission Calculation </vt:lpstr>
      <vt:lpstr>Payroll Increases</vt:lpstr>
      <vt:lpstr>EX A</vt:lpstr>
      <vt:lpstr>EX B</vt:lpstr>
      <vt:lpstr>CostOfInventory</vt:lpstr>
      <vt:lpstr>lookup</vt:lpstr>
      <vt:lpstr>'EX A'!Print_Area</vt:lpstr>
      <vt:lpstr>'EX B'!Print_Area</vt:lpstr>
      <vt:lpstr>'Home Sales Data'!Print_Area</vt:lpstr>
      <vt:lpstr>'Soft Drinks Data'!Print_Area</vt:lpstr>
      <vt:lpstr>Suppliers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2023-07-17T21:57:45Z</dcterms:created>
  <dcterms:modified xsi:type="dcterms:W3CDTF">2024-10-08T03:00:56Z</dcterms:modified>
</cp:coreProperties>
</file>