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d.docs.live.net/4f4c64f11a6f4c48/CVTC2SEM/2-BA/Module15/"/>
    </mc:Choice>
  </mc:AlternateContent>
  <xr:revisionPtr revIDLastSave="415" documentId="8_{54265A4A-8565-4F0F-8A8C-5A629591A830}" xr6:coauthVersionLast="47" xr6:coauthVersionMax="47" xr10:uidLastSave="{4669427A-A72B-440D-B101-384404853411}"/>
  <bookViews>
    <workbookView xWindow="-120" yWindow="-120" windowWidth="29040" windowHeight="15840" activeTab="2" xr2:uid="{8443C135-26BA-4446-B91B-5E7090617D78}"/>
  </bookViews>
  <sheets>
    <sheet name="Summary" sheetId="2" r:id="rId1"/>
    <sheet name="Raw Data" sheetId="1" r:id="rId2"/>
    <sheet name="Av,Min,Max,Med,Mde,Cnt" sheetId="4" r:id="rId3"/>
    <sheet name="IF Functions,Frequency,SUM" sheetId="5" r:id="rId4"/>
    <sheet name="Vloopup,INdexMatch,ConFormat" sheetId="7" r:id="rId5"/>
    <sheet name="Visualizations" sheetId="9" r:id="rId6"/>
    <sheet name="Sparkline" sheetId="10" r:id="rId7"/>
  </sheets>
  <definedNames>
    <definedName name="_xlnm._FilterDatabase" localSheetId="4" hidden="1">'Vloopup,INdexMatch,ConFormat'!$A$4:$G$95</definedName>
    <definedName name="lookup">'Vloopup,INdexMatch,ConFormat'!$F$6:$G$11</definedName>
    <definedName name="_xlnm.Print_Area" localSheetId="2">'Av,Min,Max,Med,Mde,Cnt'!$A$1:$H$95</definedName>
    <definedName name="_xlnm.Print_Area" localSheetId="0">Summary!$A$1:$M$39</definedName>
    <definedName name="_xlnm.Print_Area" localSheetId="4">'Vloopup,INdexMatch,ConFormat'!$A$1:$H$95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5" l="1"/>
  <c r="F17" i="5"/>
  <c r="G33" i="5" a="1"/>
  <c r="G33" i="5" s="1"/>
  <c r="F33" i="5" a="1"/>
  <c r="F33" i="5" s="1"/>
  <c r="G16"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4"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F29" i="5"/>
  <c r="F28" i="5"/>
  <c r="F25" i="5"/>
  <c r="F24" i="5"/>
  <c r="F21" i="5"/>
  <c r="F20" i="5"/>
  <c r="F12" i="5"/>
  <c r="F13" i="5"/>
  <c r="F8" i="5"/>
  <c r="F9" i="5"/>
  <c r="C96" i="5"/>
  <c r="B96" i="5"/>
  <c r="G8" i="4"/>
  <c r="F8" i="4"/>
  <c r="G9" i="4"/>
  <c r="F9" i="4"/>
  <c r="G7" i="4"/>
  <c r="F7" i="4"/>
  <c r="G6" i="4"/>
  <c r="F6" i="4"/>
  <c r="G5" i="4"/>
  <c r="F5" i="4"/>
  <c r="G4" i="4"/>
  <c r="F4"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<sst xmlns="http://schemas.openxmlformats.org/spreadsheetml/2006/main" count="88" uniqueCount="54">
  <si>
    <t>Category: All categories</t>
  </si>
  <si>
    <t>ps5: (United States)</t>
  </si>
  <si>
    <t>xbox: (United States)</t>
  </si>
  <si>
    <t>Jesse Xiong</t>
  </si>
  <si>
    <t>Final Comprehensive Analysis</t>
  </si>
  <si>
    <t>Function</t>
  </si>
  <si>
    <t>Average</t>
  </si>
  <si>
    <t>Min</t>
  </si>
  <si>
    <t>Max</t>
  </si>
  <si>
    <t>Median</t>
  </si>
  <si>
    <t>Mode</t>
  </si>
  <si>
    <t>Count</t>
  </si>
  <si>
    <t>Ps5</t>
  </si>
  <si>
    <t>Xbox</t>
  </si>
  <si>
    <t>Date</t>
  </si>
  <si>
    <t>Formula</t>
  </si>
  <si>
    <t>SumIF</t>
  </si>
  <si>
    <t>CountIF</t>
  </si>
  <si>
    <t>AverageIF</t>
  </si>
  <si>
    <t>Count Ps5 &gt;50</t>
  </si>
  <si>
    <t>Avg Ps5 &gt;60</t>
  </si>
  <si>
    <t>Avg Xbox &gt;60</t>
  </si>
  <si>
    <t>Total (SUM)</t>
  </si>
  <si>
    <t>Sum Ps5 &gt;=25</t>
  </si>
  <si>
    <t>Sum Xbox &gt;=25</t>
  </si>
  <si>
    <t>CountIF'S</t>
  </si>
  <si>
    <t>Ps5 &gt;50 &gt;=10/1/2024</t>
  </si>
  <si>
    <t>Xbox &gt;50 &gt;=10/1/2024</t>
  </si>
  <si>
    <t>MaxIF</t>
  </si>
  <si>
    <t xml:space="preserve"> </t>
  </si>
  <si>
    <t>IF</t>
  </si>
  <si>
    <t>Ps5 &gt;50</t>
  </si>
  <si>
    <t>Xbox &gt;50</t>
  </si>
  <si>
    <t>Interest Scale for Ps5</t>
  </si>
  <si>
    <t>Interest Scale for Xbox</t>
  </si>
  <si>
    <t>Vlookup</t>
  </si>
  <si>
    <t>Scale</t>
  </si>
  <si>
    <t>Interest</t>
  </si>
  <si>
    <t>No Interest</t>
  </si>
  <si>
    <t>Little Interest</t>
  </si>
  <si>
    <t>Average Interest</t>
  </si>
  <si>
    <t>Above Average Interest</t>
  </si>
  <si>
    <t>high Interest</t>
  </si>
  <si>
    <t>Best Interest</t>
  </si>
  <si>
    <t>Index Match</t>
  </si>
  <si>
    <t>Interest Type</t>
  </si>
  <si>
    <t>Interest Value</t>
  </si>
  <si>
    <t>Frequency</t>
  </si>
  <si>
    <t>Score Ranges</t>
  </si>
  <si>
    <t>Ps5 Searches</t>
  </si>
  <si>
    <t>Xbox Searches</t>
  </si>
  <si>
    <t>PowerBI Dashboard</t>
  </si>
  <si>
    <t>Sparkline</t>
  </si>
  <si>
    <t>Count Xbox &gt;50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</si>
</sst>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2"/>
      <color theme="1"/>
      <name val="Aptos Narrow"/>
      <family val="2"/>
      <scheme val="minor"/>
    </font>
  </fonts>
  <fills count="5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rgb="FFFFC0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8"/>
        <bgColor indexed="64"/>
      </patternFill>
    </fill>
    <fill>
      <patternFill patternType="solid">
        <fgColor theme="0" tint="-0.249977111117893"/>
        <bgColor indexed="64"/>
      </patternFill>
    </fill>
    <fill>
      <patternFill patternType="solid">
        <fgColor theme="3" tint="0.749992370372631"/>
        <bgColor indexed="64"/>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3" tint="0.89999084444715716"/>
        <bgColor indexed="64"/>
      </patternFill>
    </fill>
    <fill>
      <patternFill patternType="solid">
        <fgColor theme="8"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4" fontId="16" fillId="0" borderId="0" xfId="0" applyNumberFormat="1" applyFont="1"/>
    <xf numFmtId="0" fontId="0" fillId="0" borderId="0" xfId="0" applyAlignment="1">
      <alignment horizontal="center"/>
    </xf>
    <xf numFmtId="0" fontId="18" fillId="0" borderId="0" xfId="0" applyFont="1" applyAlignment="1">
      <alignment horizontal="center"/>
    </xf>
    <xf numFmtId="0" fontId="19" fillId="0" borderId="0" xfId="0" applyFont="1"/>
    <xf numFmtId="14" fontId="19" fillId="0" borderId="0" xfId="0" applyNumberFormat="1" applyFont="1"/>
    <xf numFmtId="0" fontId="18" fillId="0" borderId="10" xfId="0" applyFont="1" applyBorder="1"/>
    <xf numFmtId="14" fontId="19" fillId="0" borderId="10" xfId="0" applyNumberFormat="1" applyFont="1" applyBorder="1"/>
    <xf numFmtId="0" fontId="19" fillId="0" borderId="10" xfId="0" applyFont="1" applyBorder="1"/>
    <xf numFmtId="0" fontId="19" fillId="33" borderId="10" xfId="0" applyFont="1" applyFill="1" applyBorder="1"/>
    <xf numFmtId="0" fontId="19" fillId="34" borderId="10" xfId="0" applyFont="1" applyFill="1" applyBorder="1"/>
    <xf numFmtId="1" fontId="19" fillId="35" borderId="10" xfId="0" applyNumberFormat="1" applyFont="1" applyFill="1" applyBorder="1"/>
    <xf numFmtId="0" fontId="19" fillId="35" borderId="10" xfId="0" applyFont="1" applyFill="1" applyBorder="1"/>
    <xf numFmtId="0" fontId="19" fillId="34" borderId="11" xfId="0" applyFont="1" applyFill="1" applyBorder="1"/>
    <xf numFmtId="0" fontId="19" fillId="35" borderId="11" xfId="0" applyFont="1" applyFill="1" applyBorder="1"/>
    <xf numFmtId="0" fontId="18" fillId="0" borderId="0" xfId="0" applyFont="1" applyFill="1" applyBorder="1"/>
    <xf numFmtId="0" fontId="19" fillId="0" borderId="0" xfId="0" applyFont="1" applyFill="1" applyBorder="1"/>
    <xf numFmtId="0" fontId="18" fillId="36" borderId="10" xfId="0" applyFont="1" applyFill="1" applyBorder="1"/>
    <xf numFmtId="0" fontId="19" fillId="37" borderId="10" xfId="0" applyFont="1" applyFill="1" applyBorder="1"/>
    <xf numFmtId="0" fontId="18" fillId="38" borderId="10" xfId="0" applyFont="1" applyFill="1" applyBorder="1"/>
    <xf numFmtId="0" fontId="19" fillId="39" borderId="10" xfId="0" applyFont="1" applyFill="1" applyBorder="1"/>
    <xf numFmtId="1" fontId="19" fillId="39" borderId="10" xfId="0" applyNumberFormat="1" applyFont="1" applyFill="1" applyBorder="1"/>
    <xf numFmtId="0" fontId="18" fillId="40" borderId="10" xfId="0" applyFont="1" applyFill="1" applyBorder="1"/>
    <xf numFmtId="0" fontId="19" fillId="41" borderId="10" xfId="0" applyFont="1" applyFill="1" applyBorder="1"/>
    <xf numFmtId="0" fontId="18" fillId="42" borderId="10" xfId="0" applyFont="1" applyFill="1" applyBorder="1"/>
    <xf numFmtId="0" fontId="19" fillId="43" borderId="10" xfId="0" applyFont="1" applyFill="1" applyBorder="1"/>
    <xf numFmtId="0" fontId="18" fillId="44" borderId="10" xfId="0" applyFont="1" applyFill="1" applyBorder="1"/>
    <xf numFmtId="0" fontId="19" fillId="45" borderId="10" xfId="0" applyFont="1" applyFill="1" applyBorder="1"/>
    <xf numFmtId="0" fontId="18" fillId="37" borderId="10" xfId="0" applyFont="1" applyFill="1" applyBorder="1"/>
    <xf numFmtId="0" fontId="19" fillId="46" borderId="10" xfId="0" applyFont="1" applyFill="1" applyBorder="1"/>
    <xf numFmtId="0" fontId="18" fillId="51" borderId="10" xfId="0" applyFont="1" applyFill="1" applyBorder="1" applyAlignment="1">
      <alignment horizontal="center"/>
    </xf>
    <xf numFmtId="0" fontId="18" fillId="52" borderId="10" xfId="0" applyFont="1" applyFill="1" applyBorder="1"/>
    <xf numFmtId="0" fontId="19" fillId="53" borderId="10" xfId="0" applyFont="1" applyFill="1" applyBorder="1" applyAlignment="1">
      <alignment horizontal="center"/>
    </xf>
    <xf numFmtId="0" fontId="19" fillId="53" borderId="10" xfId="0" applyFont="1" applyFill="1" applyBorder="1"/>
    <xf numFmtId="0" fontId="19" fillId="47" borderId="10" xfId="0" applyFont="1" applyFill="1" applyBorder="1" applyAlignment="1">
      <alignment horizontal="center"/>
    </xf>
    <xf numFmtId="0" fontId="19" fillId="48" borderId="10" xfId="0" applyFont="1" applyFill="1" applyBorder="1"/>
    <xf numFmtId="0" fontId="19" fillId="49" borderId="10" xfId="0" applyFont="1" applyFill="1" applyBorder="1"/>
    <xf numFmtId="0" fontId="19" fillId="50" borderId="10" xfId="0" applyFont="1" applyFill="1" applyBorder="1"/>
    <xf numFmtId="14" fontId="19" fillId="50"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40000"/>
                    <a:lumOff val="60000"/>
                  </a:schemeClr>
                </a:solidFill>
              </a:rPr>
              <a:t>Interest</a:t>
            </a:r>
            <a:r>
              <a:rPr lang="en-US" baseline="0">
                <a:solidFill>
                  <a:schemeClr val="accent1">
                    <a:lumMod val="40000"/>
                    <a:lumOff val="60000"/>
                  </a:schemeClr>
                </a:solidFill>
              </a:rPr>
              <a:t> Comparison for Ps5 vs Xbox</a:t>
            </a:r>
            <a:endParaRPr lang="en-US">
              <a:solidFill>
                <a:schemeClr val="accent1">
                  <a:lumMod val="40000"/>
                  <a:lumOff val="6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Visualizations!$B$3</c:f>
              <c:strCache>
                <c:ptCount val="1"/>
                <c:pt idx="0">
                  <c:v>ps5: (United States)</c:v>
                </c:pt>
              </c:strCache>
            </c:strRef>
          </c:tx>
          <c:spPr>
            <a:solidFill>
              <a:schemeClr val="accent1"/>
            </a:solidFill>
            <a:ln>
              <a:noFill/>
            </a:ln>
            <a:effectLst/>
          </c:spPr>
          <c:invertIfNegative val="0"/>
          <c:cat>
            <c:numRef>
              <c:f>Visualizations!$A$4:$A$95</c:f>
              <c:numCache>
                <c:formatCode>m/d/yyyy</c:formatCode>
                <c:ptCount val="92"/>
                <c:pt idx="0">
                  <c:v>45539</c:v>
                </c:pt>
                <c:pt idx="1">
                  <c:v>45540</c:v>
                </c:pt>
                <c:pt idx="2">
                  <c:v>45541</c:v>
                </c:pt>
                <c:pt idx="3">
                  <c:v>45542</c:v>
                </c:pt>
                <c:pt idx="4">
                  <c:v>45543</c:v>
                </c:pt>
                <c:pt idx="5">
                  <c:v>45544</c:v>
                </c:pt>
                <c:pt idx="6">
                  <c:v>45545</c:v>
                </c:pt>
                <c:pt idx="7">
                  <c:v>45546</c:v>
                </c:pt>
                <c:pt idx="8">
                  <c:v>45547</c:v>
                </c:pt>
                <c:pt idx="9">
                  <c:v>45548</c:v>
                </c:pt>
                <c:pt idx="10">
                  <c:v>45549</c:v>
                </c:pt>
                <c:pt idx="11">
                  <c:v>45550</c:v>
                </c:pt>
                <c:pt idx="12">
                  <c:v>45551</c:v>
                </c:pt>
                <c:pt idx="13">
                  <c:v>45552</c:v>
                </c:pt>
                <c:pt idx="14">
                  <c:v>45553</c:v>
                </c:pt>
                <c:pt idx="15">
                  <c:v>45554</c:v>
                </c:pt>
                <c:pt idx="16">
                  <c:v>45555</c:v>
                </c:pt>
                <c:pt idx="17">
                  <c:v>45556</c:v>
                </c:pt>
                <c:pt idx="18">
                  <c:v>45557</c:v>
                </c:pt>
                <c:pt idx="19">
                  <c:v>45558</c:v>
                </c:pt>
                <c:pt idx="20">
                  <c:v>45559</c:v>
                </c:pt>
                <c:pt idx="21">
                  <c:v>45560</c:v>
                </c:pt>
                <c:pt idx="22">
                  <c:v>45561</c:v>
                </c:pt>
                <c:pt idx="23">
                  <c:v>45562</c:v>
                </c:pt>
                <c:pt idx="24">
                  <c:v>45563</c:v>
                </c:pt>
                <c:pt idx="25">
                  <c:v>45564</c:v>
                </c:pt>
                <c:pt idx="26">
                  <c:v>45565</c:v>
                </c:pt>
                <c:pt idx="27">
                  <c:v>45566</c:v>
                </c:pt>
                <c:pt idx="28">
                  <c:v>45567</c:v>
                </c:pt>
                <c:pt idx="29">
                  <c:v>45568</c:v>
                </c:pt>
                <c:pt idx="30">
                  <c:v>45569</c:v>
                </c:pt>
                <c:pt idx="31">
                  <c:v>45570</c:v>
                </c:pt>
                <c:pt idx="32">
                  <c:v>45571</c:v>
                </c:pt>
                <c:pt idx="33">
                  <c:v>45572</c:v>
                </c:pt>
                <c:pt idx="34">
                  <c:v>45573</c:v>
                </c:pt>
                <c:pt idx="35">
                  <c:v>45574</c:v>
                </c:pt>
                <c:pt idx="36">
                  <c:v>45575</c:v>
                </c:pt>
                <c:pt idx="37">
                  <c:v>45576</c:v>
                </c:pt>
                <c:pt idx="38">
                  <c:v>45577</c:v>
                </c:pt>
                <c:pt idx="39">
                  <c:v>45578</c:v>
                </c:pt>
                <c:pt idx="40">
                  <c:v>45579</c:v>
                </c:pt>
                <c:pt idx="41">
                  <c:v>45580</c:v>
                </c:pt>
                <c:pt idx="42">
                  <c:v>45581</c:v>
                </c:pt>
                <c:pt idx="43">
                  <c:v>45582</c:v>
                </c:pt>
                <c:pt idx="44">
                  <c:v>45583</c:v>
                </c:pt>
                <c:pt idx="45">
                  <c:v>45584</c:v>
                </c:pt>
                <c:pt idx="46">
                  <c:v>45585</c:v>
                </c:pt>
                <c:pt idx="47">
                  <c:v>45586</c:v>
                </c:pt>
                <c:pt idx="48">
                  <c:v>45587</c:v>
                </c:pt>
                <c:pt idx="49">
                  <c:v>45588</c:v>
                </c:pt>
                <c:pt idx="50">
                  <c:v>45589</c:v>
                </c:pt>
                <c:pt idx="51">
                  <c:v>45590</c:v>
                </c:pt>
                <c:pt idx="52">
                  <c:v>45591</c:v>
                </c:pt>
                <c:pt idx="53">
                  <c:v>45592</c:v>
                </c:pt>
                <c:pt idx="54">
                  <c:v>45593</c:v>
                </c:pt>
                <c:pt idx="55">
                  <c:v>45594</c:v>
                </c:pt>
                <c:pt idx="56">
                  <c:v>45595</c:v>
                </c:pt>
                <c:pt idx="57">
                  <c:v>45596</c:v>
                </c:pt>
                <c:pt idx="58">
                  <c:v>45597</c:v>
                </c:pt>
                <c:pt idx="59">
                  <c:v>45598</c:v>
                </c:pt>
                <c:pt idx="60">
                  <c:v>45599</c:v>
                </c:pt>
                <c:pt idx="61">
                  <c:v>45600</c:v>
                </c:pt>
                <c:pt idx="62">
                  <c:v>45601</c:v>
                </c:pt>
                <c:pt idx="63">
                  <c:v>45602</c:v>
                </c:pt>
                <c:pt idx="64">
                  <c:v>45603</c:v>
                </c:pt>
                <c:pt idx="65">
                  <c:v>45604</c:v>
                </c:pt>
                <c:pt idx="66">
                  <c:v>45605</c:v>
                </c:pt>
                <c:pt idx="67">
                  <c:v>45606</c:v>
                </c:pt>
                <c:pt idx="68">
                  <c:v>45607</c:v>
                </c:pt>
                <c:pt idx="69">
                  <c:v>45608</c:v>
                </c:pt>
                <c:pt idx="70">
                  <c:v>45609</c:v>
                </c:pt>
                <c:pt idx="71">
                  <c:v>45610</c:v>
                </c:pt>
                <c:pt idx="72">
                  <c:v>45611</c:v>
                </c:pt>
                <c:pt idx="73">
                  <c:v>45612</c:v>
                </c:pt>
                <c:pt idx="74">
                  <c:v>45613</c:v>
                </c:pt>
                <c:pt idx="75">
                  <c:v>45614</c:v>
                </c:pt>
                <c:pt idx="76">
                  <c:v>45615</c:v>
                </c:pt>
                <c:pt idx="77">
                  <c:v>45616</c:v>
                </c:pt>
                <c:pt idx="78">
                  <c:v>45617</c:v>
                </c:pt>
                <c:pt idx="79">
                  <c:v>45618</c:v>
                </c:pt>
                <c:pt idx="80">
                  <c:v>45619</c:v>
                </c:pt>
                <c:pt idx="81">
                  <c:v>45620</c:v>
                </c:pt>
                <c:pt idx="82">
                  <c:v>45621</c:v>
                </c:pt>
                <c:pt idx="83">
                  <c:v>45622</c:v>
                </c:pt>
                <c:pt idx="84">
                  <c:v>45623</c:v>
                </c:pt>
                <c:pt idx="85">
                  <c:v>45624</c:v>
                </c:pt>
                <c:pt idx="86">
                  <c:v>45625</c:v>
                </c:pt>
                <c:pt idx="87">
                  <c:v>45626</c:v>
                </c:pt>
                <c:pt idx="88">
                  <c:v>45627</c:v>
                </c:pt>
                <c:pt idx="89">
                  <c:v>45628</c:v>
                </c:pt>
                <c:pt idx="90">
                  <c:v>45629</c:v>
                </c:pt>
                <c:pt idx="91">
                  <c:v>45630</c:v>
                </c:pt>
              </c:numCache>
            </c:numRef>
          </c:cat>
          <c:val>
            <c:numRef>
              <c:f>Visualizations!$B$4:$B$95</c:f>
              <c:numCache>
                <c:formatCode>General</c:formatCode>
                <c:ptCount val="92"/>
                <c:pt idx="0">
                  <c:v>27</c:v>
                </c:pt>
                <c:pt idx="1">
                  <c:v>28</c:v>
                </c:pt>
                <c:pt idx="2">
                  <c:v>28</c:v>
                </c:pt>
                <c:pt idx="3">
                  <c:v>37</c:v>
                </c:pt>
                <c:pt idx="4">
                  <c:v>36</c:v>
                </c:pt>
                <c:pt idx="5">
                  <c:v>29</c:v>
                </c:pt>
                <c:pt idx="6">
                  <c:v>57</c:v>
                </c:pt>
                <c:pt idx="7">
                  <c:v>46</c:v>
                </c:pt>
                <c:pt idx="8">
                  <c:v>38</c:v>
                </c:pt>
                <c:pt idx="9">
                  <c:v>33</c:v>
                </c:pt>
                <c:pt idx="10">
                  <c:v>41</c:v>
                </c:pt>
                <c:pt idx="11">
                  <c:v>38</c:v>
                </c:pt>
                <c:pt idx="12">
                  <c:v>28</c:v>
                </c:pt>
                <c:pt idx="13">
                  <c:v>27</c:v>
                </c:pt>
                <c:pt idx="14">
                  <c:v>26</c:v>
                </c:pt>
                <c:pt idx="15">
                  <c:v>31</c:v>
                </c:pt>
                <c:pt idx="16">
                  <c:v>36</c:v>
                </c:pt>
                <c:pt idx="17">
                  <c:v>42</c:v>
                </c:pt>
                <c:pt idx="18">
                  <c:v>39</c:v>
                </c:pt>
                <c:pt idx="19">
                  <c:v>29</c:v>
                </c:pt>
                <c:pt idx="20">
                  <c:v>29</c:v>
                </c:pt>
                <c:pt idx="21">
                  <c:v>34</c:v>
                </c:pt>
                <c:pt idx="22">
                  <c:v>51</c:v>
                </c:pt>
                <c:pt idx="23">
                  <c:v>35</c:v>
                </c:pt>
                <c:pt idx="24">
                  <c:v>39</c:v>
                </c:pt>
                <c:pt idx="25">
                  <c:v>37</c:v>
                </c:pt>
                <c:pt idx="26">
                  <c:v>28</c:v>
                </c:pt>
                <c:pt idx="27">
                  <c:v>40</c:v>
                </c:pt>
                <c:pt idx="28">
                  <c:v>27</c:v>
                </c:pt>
                <c:pt idx="29">
                  <c:v>27</c:v>
                </c:pt>
                <c:pt idx="30">
                  <c:v>29</c:v>
                </c:pt>
                <c:pt idx="31">
                  <c:v>36</c:v>
                </c:pt>
                <c:pt idx="32">
                  <c:v>38</c:v>
                </c:pt>
                <c:pt idx="33">
                  <c:v>28</c:v>
                </c:pt>
                <c:pt idx="34">
                  <c:v>30</c:v>
                </c:pt>
                <c:pt idx="35">
                  <c:v>30</c:v>
                </c:pt>
                <c:pt idx="36">
                  <c:v>33</c:v>
                </c:pt>
                <c:pt idx="37">
                  <c:v>32</c:v>
                </c:pt>
                <c:pt idx="38">
                  <c:v>40</c:v>
                </c:pt>
                <c:pt idx="39">
                  <c:v>38</c:v>
                </c:pt>
                <c:pt idx="40">
                  <c:v>30</c:v>
                </c:pt>
                <c:pt idx="41">
                  <c:v>27</c:v>
                </c:pt>
                <c:pt idx="42">
                  <c:v>26</c:v>
                </c:pt>
                <c:pt idx="43">
                  <c:v>26</c:v>
                </c:pt>
                <c:pt idx="44">
                  <c:v>29</c:v>
                </c:pt>
                <c:pt idx="45">
                  <c:v>36</c:v>
                </c:pt>
                <c:pt idx="46">
                  <c:v>36</c:v>
                </c:pt>
                <c:pt idx="47">
                  <c:v>27</c:v>
                </c:pt>
                <c:pt idx="48">
                  <c:v>26</c:v>
                </c:pt>
                <c:pt idx="49">
                  <c:v>28</c:v>
                </c:pt>
                <c:pt idx="50">
                  <c:v>30</c:v>
                </c:pt>
                <c:pt idx="51">
                  <c:v>32</c:v>
                </c:pt>
                <c:pt idx="52">
                  <c:v>39</c:v>
                </c:pt>
                <c:pt idx="53">
                  <c:v>40</c:v>
                </c:pt>
                <c:pt idx="54">
                  <c:v>27</c:v>
                </c:pt>
                <c:pt idx="55">
                  <c:v>29</c:v>
                </c:pt>
                <c:pt idx="56">
                  <c:v>27</c:v>
                </c:pt>
                <c:pt idx="57">
                  <c:v>26</c:v>
                </c:pt>
                <c:pt idx="58">
                  <c:v>28</c:v>
                </c:pt>
                <c:pt idx="59">
                  <c:v>43</c:v>
                </c:pt>
                <c:pt idx="60">
                  <c:v>44</c:v>
                </c:pt>
                <c:pt idx="61">
                  <c:v>32</c:v>
                </c:pt>
                <c:pt idx="62">
                  <c:v>30</c:v>
                </c:pt>
                <c:pt idx="63">
                  <c:v>22</c:v>
                </c:pt>
                <c:pt idx="64">
                  <c:v>36</c:v>
                </c:pt>
                <c:pt idx="65">
                  <c:v>42</c:v>
                </c:pt>
                <c:pt idx="66">
                  <c:v>49</c:v>
                </c:pt>
                <c:pt idx="67">
                  <c:v>48</c:v>
                </c:pt>
                <c:pt idx="68">
                  <c:v>41</c:v>
                </c:pt>
                <c:pt idx="69">
                  <c:v>35</c:v>
                </c:pt>
                <c:pt idx="70">
                  <c:v>37</c:v>
                </c:pt>
                <c:pt idx="71">
                  <c:v>35</c:v>
                </c:pt>
                <c:pt idx="72">
                  <c:v>35</c:v>
                </c:pt>
                <c:pt idx="73">
                  <c:v>43</c:v>
                </c:pt>
                <c:pt idx="74">
                  <c:v>47</c:v>
                </c:pt>
                <c:pt idx="75">
                  <c:v>36</c:v>
                </c:pt>
                <c:pt idx="76">
                  <c:v>32</c:v>
                </c:pt>
                <c:pt idx="77">
                  <c:v>36</c:v>
                </c:pt>
                <c:pt idx="78">
                  <c:v>45</c:v>
                </c:pt>
                <c:pt idx="79">
                  <c:v>54</c:v>
                </c:pt>
                <c:pt idx="80">
                  <c:v>63</c:v>
                </c:pt>
                <c:pt idx="81">
                  <c:v>64</c:v>
                </c:pt>
                <c:pt idx="82">
                  <c:v>52</c:v>
                </c:pt>
                <c:pt idx="83">
                  <c:v>53</c:v>
                </c:pt>
                <c:pt idx="84">
                  <c:v>57</c:v>
                </c:pt>
                <c:pt idx="85">
                  <c:v>66</c:v>
                </c:pt>
                <c:pt idx="86">
                  <c:v>98</c:v>
                </c:pt>
                <c:pt idx="87">
                  <c:v>79</c:v>
                </c:pt>
                <c:pt idx="88">
                  <c:v>73</c:v>
                </c:pt>
                <c:pt idx="89">
                  <c:v>61</c:v>
                </c:pt>
                <c:pt idx="90">
                  <c:v>51</c:v>
                </c:pt>
                <c:pt idx="91">
                  <c:v>44</c:v>
                </c:pt>
              </c:numCache>
            </c:numRef>
          </c:val>
          <c:extLst>
            <c:ext xmlns:c16="http://schemas.microsoft.com/office/drawing/2014/chart" uri="{C3380CC4-5D6E-409C-BE32-E72D297353CC}">
              <c16:uniqueId val="{00000000-0023-4FD4-ABF0-53EB4957487D}"/>
            </c:ext>
          </c:extLst>
        </c:ser>
        <c:ser>
          <c:idx val="1"/>
          <c:order val="1"/>
          <c:tx>
            <c:strRef>
              <c:f>Visualizations!$C$3</c:f>
              <c:strCache>
                <c:ptCount val="1"/>
                <c:pt idx="0">
                  <c:v>xbox: (United States)</c:v>
                </c:pt>
              </c:strCache>
            </c:strRef>
          </c:tx>
          <c:spPr>
            <a:solidFill>
              <a:schemeClr val="accent2"/>
            </a:solidFill>
            <a:ln>
              <a:noFill/>
            </a:ln>
            <a:effectLst/>
          </c:spPr>
          <c:invertIfNegative val="0"/>
          <c:cat>
            <c:numRef>
              <c:f>Visualizations!$A$4:$A$95</c:f>
              <c:numCache>
                <c:formatCode>m/d/yyyy</c:formatCode>
                <c:ptCount val="92"/>
                <c:pt idx="0">
                  <c:v>45539</c:v>
                </c:pt>
                <c:pt idx="1">
                  <c:v>45540</c:v>
                </c:pt>
                <c:pt idx="2">
                  <c:v>45541</c:v>
                </c:pt>
                <c:pt idx="3">
                  <c:v>45542</c:v>
                </c:pt>
                <c:pt idx="4">
                  <c:v>45543</c:v>
                </c:pt>
                <c:pt idx="5">
                  <c:v>45544</c:v>
                </c:pt>
                <c:pt idx="6">
                  <c:v>45545</c:v>
                </c:pt>
                <c:pt idx="7">
                  <c:v>45546</c:v>
                </c:pt>
                <c:pt idx="8">
                  <c:v>45547</c:v>
                </c:pt>
                <c:pt idx="9">
                  <c:v>45548</c:v>
                </c:pt>
                <c:pt idx="10">
                  <c:v>45549</c:v>
                </c:pt>
                <c:pt idx="11">
                  <c:v>45550</c:v>
                </c:pt>
                <c:pt idx="12">
                  <c:v>45551</c:v>
                </c:pt>
                <c:pt idx="13">
                  <c:v>45552</c:v>
                </c:pt>
                <c:pt idx="14">
                  <c:v>45553</c:v>
                </c:pt>
                <c:pt idx="15">
                  <c:v>45554</c:v>
                </c:pt>
                <c:pt idx="16">
                  <c:v>45555</c:v>
                </c:pt>
                <c:pt idx="17">
                  <c:v>45556</c:v>
                </c:pt>
                <c:pt idx="18">
                  <c:v>45557</c:v>
                </c:pt>
                <c:pt idx="19">
                  <c:v>45558</c:v>
                </c:pt>
                <c:pt idx="20">
                  <c:v>45559</c:v>
                </c:pt>
                <c:pt idx="21">
                  <c:v>45560</c:v>
                </c:pt>
                <c:pt idx="22">
                  <c:v>45561</c:v>
                </c:pt>
                <c:pt idx="23">
                  <c:v>45562</c:v>
                </c:pt>
                <c:pt idx="24">
                  <c:v>45563</c:v>
                </c:pt>
                <c:pt idx="25">
                  <c:v>45564</c:v>
                </c:pt>
                <c:pt idx="26">
                  <c:v>45565</c:v>
                </c:pt>
                <c:pt idx="27">
                  <c:v>45566</c:v>
                </c:pt>
                <c:pt idx="28">
                  <c:v>45567</c:v>
                </c:pt>
                <c:pt idx="29">
                  <c:v>45568</c:v>
                </c:pt>
                <c:pt idx="30">
                  <c:v>45569</c:v>
                </c:pt>
                <c:pt idx="31">
                  <c:v>45570</c:v>
                </c:pt>
                <c:pt idx="32">
                  <c:v>45571</c:v>
                </c:pt>
                <c:pt idx="33">
                  <c:v>45572</c:v>
                </c:pt>
                <c:pt idx="34">
                  <c:v>45573</c:v>
                </c:pt>
                <c:pt idx="35">
                  <c:v>45574</c:v>
                </c:pt>
                <c:pt idx="36">
                  <c:v>45575</c:v>
                </c:pt>
                <c:pt idx="37">
                  <c:v>45576</c:v>
                </c:pt>
                <c:pt idx="38">
                  <c:v>45577</c:v>
                </c:pt>
                <c:pt idx="39">
                  <c:v>45578</c:v>
                </c:pt>
                <c:pt idx="40">
                  <c:v>45579</c:v>
                </c:pt>
                <c:pt idx="41">
                  <c:v>45580</c:v>
                </c:pt>
                <c:pt idx="42">
                  <c:v>45581</c:v>
                </c:pt>
                <c:pt idx="43">
                  <c:v>45582</c:v>
                </c:pt>
                <c:pt idx="44">
                  <c:v>45583</c:v>
                </c:pt>
                <c:pt idx="45">
                  <c:v>45584</c:v>
                </c:pt>
                <c:pt idx="46">
                  <c:v>45585</c:v>
                </c:pt>
                <c:pt idx="47">
                  <c:v>45586</c:v>
                </c:pt>
                <c:pt idx="48">
                  <c:v>45587</c:v>
                </c:pt>
                <c:pt idx="49">
                  <c:v>45588</c:v>
                </c:pt>
                <c:pt idx="50">
                  <c:v>45589</c:v>
                </c:pt>
                <c:pt idx="51">
                  <c:v>45590</c:v>
                </c:pt>
                <c:pt idx="52">
                  <c:v>45591</c:v>
                </c:pt>
                <c:pt idx="53">
                  <c:v>45592</c:v>
                </c:pt>
                <c:pt idx="54">
                  <c:v>45593</c:v>
                </c:pt>
                <c:pt idx="55">
                  <c:v>45594</c:v>
                </c:pt>
                <c:pt idx="56">
                  <c:v>45595</c:v>
                </c:pt>
                <c:pt idx="57">
                  <c:v>45596</c:v>
                </c:pt>
                <c:pt idx="58">
                  <c:v>45597</c:v>
                </c:pt>
                <c:pt idx="59">
                  <c:v>45598</c:v>
                </c:pt>
                <c:pt idx="60">
                  <c:v>45599</c:v>
                </c:pt>
                <c:pt idx="61">
                  <c:v>45600</c:v>
                </c:pt>
                <c:pt idx="62">
                  <c:v>45601</c:v>
                </c:pt>
                <c:pt idx="63">
                  <c:v>45602</c:v>
                </c:pt>
                <c:pt idx="64">
                  <c:v>45603</c:v>
                </c:pt>
                <c:pt idx="65">
                  <c:v>45604</c:v>
                </c:pt>
                <c:pt idx="66">
                  <c:v>45605</c:v>
                </c:pt>
                <c:pt idx="67">
                  <c:v>45606</c:v>
                </c:pt>
                <c:pt idx="68">
                  <c:v>45607</c:v>
                </c:pt>
                <c:pt idx="69">
                  <c:v>45608</c:v>
                </c:pt>
                <c:pt idx="70">
                  <c:v>45609</c:v>
                </c:pt>
                <c:pt idx="71">
                  <c:v>45610</c:v>
                </c:pt>
                <c:pt idx="72">
                  <c:v>45611</c:v>
                </c:pt>
                <c:pt idx="73">
                  <c:v>45612</c:v>
                </c:pt>
                <c:pt idx="74">
                  <c:v>45613</c:v>
                </c:pt>
                <c:pt idx="75">
                  <c:v>45614</c:v>
                </c:pt>
                <c:pt idx="76">
                  <c:v>45615</c:v>
                </c:pt>
                <c:pt idx="77">
                  <c:v>45616</c:v>
                </c:pt>
                <c:pt idx="78">
                  <c:v>45617</c:v>
                </c:pt>
                <c:pt idx="79">
                  <c:v>45618</c:v>
                </c:pt>
                <c:pt idx="80">
                  <c:v>45619</c:v>
                </c:pt>
                <c:pt idx="81">
                  <c:v>45620</c:v>
                </c:pt>
                <c:pt idx="82">
                  <c:v>45621</c:v>
                </c:pt>
                <c:pt idx="83">
                  <c:v>45622</c:v>
                </c:pt>
                <c:pt idx="84">
                  <c:v>45623</c:v>
                </c:pt>
                <c:pt idx="85">
                  <c:v>45624</c:v>
                </c:pt>
                <c:pt idx="86">
                  <c:v>45625</c:v>
                </c:pt>
                <c:pt idx="87">
                  <c:v>45626</c:v>
                </c:pt>
                <c:pt idx="88">
                  <c:v>45627</c:v>
                </c:pt>
                <c:pt idx="89">
                  <c:v>45628</c:v>
                </c:pt>
                <c:pt idx="90">
                  <c:v>45629</c:v>
                </c:pt>
                <c:pt idx="91">
                  <c:v>45630</c:v>
                </c:pt>
              </c:numCache>
            </c:numRef>
          </c:cat>
          <c:val>
            <c:numRef>
              <c:f>Visualizations!$C$4:$C$95</c:f>
              <c:numCache>
                <c:formatCode>General</c:formatCode>
                <c:ptCount val="92"/>
                <c:pt idx="0">
                  <c:v>39</c:v>
                </c:pt>
                <c:pt idx="1">
                  <c:v>38</c:v>
                </c:pt>
                <c:pt idx="2">
                  <c:v>37</c:v>
                </c:pt>
                <c:pt idx="3">
                  <c:v>50</c:v>
                </c:pt>
                <c:pt idx="4">
                  <c:v>51</c:v>
                </c:pt>
                <c:pt idx="5">
                  <c:v>35</c:v>
                </c:pt>
                <c:pt idx="6">
                  <c:v>36</c:v>
                </c:pt>
                <c:pt idx="7">
                  <c:v>35</c:v>
                </c:pt>
                <c:pt idx="8">
                  <c:v>36</c:v>
                </c:pt>
                <c:pt idx="9">
                  <c:v>37</c:v>
                </c:pt>
                <c:pt idx="10">
                  <c:v>49</c:v>
                </c:pt>
                <c:pt idx="11">
                  <c:v>47</c:v>
                </c:pt>
                <c:pt idx="12">
                  <c:v>34</c:v>
                </c:pt>
                <c:pt idx="13">
                  <c:v>35</c:v>
                </c:pt>
                <c:pt idx="14">
                  <c:v>35</c:v>
                </c:pt>
                <c:pt idx="15">
                  <c:v>35</c:v>
                </c:pt>
                <c:pt idx="16">
                  <c:v>37</c:v>
                </c:pt>
                <c:pt idx="17">
                  <c:v>51</c:v>
                </c:pt>
                <c:pt idx="18">
                  <c:v>47</c:v>
                </c:pt>
                <c:pt idx="19">
                  <c:v>34</c:v>
                </c:pt>
                <c:pt idx="20">
                  <c:v>33</c:v>
                </c:pt>
                <c:pt idx="21">
                  <c:v>33</c:v>
                </c:pt>
                <c:pt idx="22">
                  <c:v>35</c:v>
                </c:pt>
                <c:pt idx="23">
                  <c:v>36</c:v>
                </c:pt>
                <c:pt idx="24">
                  <c:v>45</c:v>
                </c:pt>
                <c:pt idx="25">
                  <c:v>45</c:v>
                </c:pt>
                <c:pt idx="26">
                  <c:v>33</c:v>
                </c:pt>
                <c:pt idx="27">
                  <c:v>35</c:v>
                </c:pt>
                <c:pt idx="28">
                  <c:v>37</c:v>
                </c:pt>
                <c:pt idx="29">
                  <c:v>33</c:v>
                </c:pt>
                <c:pt idx="30">
                  <c:v>36</c:v>
                </c:pt>
                <c:pt idx="31">
                  <c:v>46</c:v>
                </c:pt>
                <c:pt idx="32">
                  <c:v>46</c:v>
                </c:pt>
                <c:pt idx="33">
                  <c:v>35</c:v>
                </c:pt>
                <c:pt idx="34">
                  <c:v>37</c:v>
                </c:pt>
                <c:pt idx="35">
                  <c:v>38</c:v>
                </c:pt>
                <c:pt idx="36">
                  <c:v>35</c:v>
                </c:pt>
                <c:pt idx="37">
                  <c:v>39</c:v>
                </c:pt>
                <c:pt idx="38">
                  <c:v>50</c:v>
                </c:pt>
                <c:pt idx="39">
                  <c:v>47</c:v>
                </c:pt>
                <c:pt idx="40">
                  <c:v>39</c:v>
                </c:pt>
                <c:pt idx="41">
                  <c:v>38</c:v>
                </c:pt>
                <c:pt idx="42">
                  <c:v>35</c:v>
                </c:pt>
                <c:pt idx="43">
                  <c:v>36</c:v>
                </c:pt>
                <c:pt idx="44">
                  <c:v>36</c:v>
                </c:pt>
                <c:pt idx="45">
                  <c:v>47</c:v>
                </c:pt>
                <c:pt idx="46">
                  <c:v>46</c:v>
                </c:pt>
                <c:pt idx="47">
                  <c:v>34</c:v>
                </c:pt>
                <c:pt idx="48">
                  <c:v>35</c:v>
                </c:pt>
                <c:pt idx="49">
                  <c:v>34</c:v>
                </c:pt>
                <c:pt idx="50">
                  <c:v>41</c:v>
                </c:pt>
                <c:pt idx="51">
                  <c:v>46</c:v>
                </c:pt>
                <c:pt idx="52">
                  <c:v>54</c:v>
                </c:pt>
                <c:pt idx="53">
                  <c:v>54</c:v>
                </c:pt>
                <c:pt idx="54">
                  <c:v>40</c:v>
                </c:pt>
                <c:pt idx="55">
                  <c:v>36</c:v>
                </c:pt>
                <c:pt idx="56">
                  <c:v>36</c:v>
                </c:pt>
                <c:pt idx="57">
                  <c:v>35</c:v>
                </c:pt>
                <c:pt idx="58">
                  <c:v>41</c:v>
                </c:pt>
                <c:pt idx="59">
                  <c:v>58</c:v>
                </c:pt>
                <c:pt idx="60">
                  <c:v>60</c:v>
                </c:pt>
                <c:pt idx="61">
                  <c:v>42</c:v>
                </c:pt>
                <c:pt idx="62">
                  <c:v>38</c:v>
                </c:pt>
                <c:pt idx="63">
                  <c:v>27</c:v>
                </c:pt>
                <c:pt idx="64">
                  <c:v>38</c:v>
                </c:pt>
                <c:pt idx="65">
                  <c:v>42</c:v>
                </c:pt>
                <c:pt idx="66">
                  <c:v>55</c:v>
                </c:pt>
                <c:pt idx="67">
                  <c:v>57</c:v>
                </c:pt>
                <c:pt idx="68">
                  <c:v>47</c:v>
                </c:pt>
                <c:pt idx="69">
                  <c:v>41</c:v>
                </c:pt>
                <c:pt idx="70">
                  <c:v>48</c:v>
                </c:pt>
                <c:pt idx="71">
                  <c:v>46</c:v>
                </c:pt>
                <c:pt idx="72">
                  <c:v>47</c:v>
                </c:pt>
                <c:pt idx="73">
                  <c:v>54</c:v>
                </c:pt>
                <c:pt idx="74">
                  <c:v>61</c:v>
                </c:pt>
                <c:pt idx="75">
                  <c:v>46</c:v>
                </c:pt>
                <c:pt idx="76">
                  <c:v>43</c:v>
                </c:pt>
                <c:pt idx="77">
                  <c:v>47</c:v>
                </c:pt>
                <c:pt idx="78">
                  <c:v>48</c:v>
                </c:pt>
                <c:pt idx="79">
                  <c:v>53</c:v>
                </c:pt>
                <c:pt idx="80">
                  <c:v>70</c:v>
                </c:pt>
                <c:pt idx="81">
                  <c:v>68</c:v>
                </c:pt>
                <c:pt idx="82">
                  <c:v>56</c:v>
                </c:pt>
                <c:pt idx="83">
                  <c:v>57</c:v>
                </c:pt>
                <c:pt idx="84">
                  <c:v>64</c:v>
                </c:pt>
                <c:pt idx="85">
                  <c:v>77</c:v>
                </c:pt>
                <c:pt idx="86">
                  <c:v>100</c:v>
                </c:pt>
                <c:pt idx="87">
                  <c:v>86</c:v>
                </c:pt>
                <c:pt idx="88">
                  <c:v>83</c:v>
                </c:pt>
                <c:pt idx="89">
                  <c:v>63</c:v>
                </c:pt>
                <c:pt idx="90">
                  <c:v>52</c:v>
                </c:pt>
                <c:pt idx="91">
                  <c:v>49</c:v>
                </c:pt>
              </c:numCache>
            </c:numRef>
          </c:val>
          <c:extLst>
            <c:ext xmlns:c16="http://schemas.microsoft.com/office/drawing/2014/chart" uri="{C3380CC4-5D6E-409C-BE32-E72D297353CC}">
              <c16:uniqueId val="{00000001-0023-4FD4-ABF0-53EB4957487D}"/>
            </c:ext>
          </c:extLst>
        </c:ser>
        <c:dLbls>
          <c:showLegendKey val="0"/>
          <c:showVal val="0"/>
          <c:showCatName val="0"/>
          <c:showSerName val="0"/>
          <c:showPercent val="0"/>
          <c:showBubbleSize val="0"/>
        </c:dLbls>
        <c:gapWidth val="219"/>
        <c:overlap val="-27"/>
        <c:axId val="1585607807"/>
        <c:axId val="1709453855"/>
      </c:barChart>
      <c:dateAx>
        <c:axId val="158560780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453855"/>
        <c:crosses val="autoZero"/>
        <c:auto val="1"/>
        <c:lblOffset val="100"/>
        <c:baseTimeUnit val="days"/>
      </c:dateAx>
      <c:valAx>
        <c:axId val="170945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07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1" i="0" u="none" strike="noStrike" cap="none" baseline="0">
                <a:solidFill>
                  <a:schemeClr val="accent1">
                    <a:lumMod val="40000"/>
                    <a:lumOff val="60000"/>
                  </a:schemeClr>
                </a:solidFill>
              </a:rPr>
              <a:t>Interest Levels for PS5 and Xbox Gamers</a:t>
            </a:r>
            <a:endParaRPr lang="en-US" b="1">
              <a:solidFill>
                <a:schemeClr val="accent1">
                  <a:lumMod val="40000"/>
                  <a:lumOff val="6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v>Ps5</c:v>
          </c:tx>
          <c:spPr>
            <a:ln w="22225" cap="rnd" cmpd="sng" algn="ctr">
              <a:solidFill>
                <a:schemeClr val="accent1"/>
              </a:solidFill>
              <a:round/>
            </a:ln>
            <a:effectLst/>
          </c:spPr>
          <c:marker>
            <c:symbol val="none"/>
          </c:marker>
          <c:trendline>
            <c:spPr>
              <a:ln w="9525" cap="rnd">
                <a:solidFill>
                  <a:schemeClr val="accent1"/>
                </a:solidFill>
              </a:ln>
              <a:effectLst/>
            </c:spPr>
            <c:trendlineType val="linear"/>
            <c:dispRSqr val="0"/>
            <c:dispEq val="0"/>
          </c:trendline>
          <c:cat>
            <c:numRef>
              <c:f>Visualizations!$A$4:$A$95</c:f>
              <c:numCache>
                <c:formatCode>m/d/yyyy</c:formatCode>
                <c:ptCount val="92"/>
                <c:pt idx="0">
                  <c:v>45539</c:v>
                </c:pt>
                <c:pt idx="1">
                  <c:v>45540</c:v>
                </c:pt>
                <c:pt idx="2">
                  <c:v>45541</c:v>
                </c:pt>
                <c:pt idx="3">
                  <c:v>45542</c:v>
                </c:pt>
                <c:pt idx="4">
                  <c:v>45543</c:v>
                </c:pt>
                <c:pt idx="5">
                  <c:v>45544</c:v>
                </c:pt>
                <c:pt idx="6">
                  <c:v>45545</c:v>
                </c:pt>
                <c:pt idx="7">
                  <c:v>45546</c:v>
                </c:pt>
                <c:pt idx="8">
                  <c:v>45547</c:v>
                </c:pt>
                <c:pt idx="9">
                  <c:v>45548</c:v>
                </c:pt>
                <c:pt idx="10">
                  <c:v>45549</c:v>
                </c:pt>
                <c:pt idx="11">
                  <c:v>45550</c:v>
                </c:pt>
                <c:pt idx="12">
                  <c:v>45551</c:v>
                </c:pt>
                <c:pt idx="13">
                  <c:v>45552</c:v>
                </c:pt>
                <c:pt idx="14">
                  <c:v>45553</c:v>
                </c:pt>
                <c:pt idx="15">
                  <c:v>45554</c:v>
                </c:pt>
                <c:pt idx="16">
                  <c:v>45555</c:v>
                </c:pt>
                <c:pt idx="17">
                  <c:v>45556</c:v>
                </c:pt>
                <c:pt idx="18">
                  <c:v>45557</c:v>
                </c:pt>
                <c:pt idx="19">
                  <c:v>45558</c:v>
                </c:pt>
                <c:pt idx="20">
                  <c:v>45559</c:v>
                </c:pt>
                <c:pt idx="21">
                  <c:v>45560</c:v>
                </c:pt>
                <c:pt idx="22">
                  <c:v>45561</c:v>
                </c:pt>
                <c:pt idx="23">
                  <c:v>45562</c:v>
                </c:pt>
                <c:pt idx="24">
                  <c:v>45563</c:v>
                </c:pt>
                <c:pt idx="25">
                  <c:v>45564</c:v>
                </c:pt>
                <c:pt idx="26">
                  <c:v>45565</c:v>
                </c:pt>
                <c:pt idx="27">
                  <c:v>45566</c:v>
                </c:pt>
                <c:pt idx="28">
                  <c:v>45567</c:v>
                </c:pt>
                <c:pt idx="29">
                  <c:v>45568</c:v>
                </c:pt>
                <c:pt idx="30">
                  <c:v>45569</c:v>
                </c:pt>
                <c:pt idx="31">
                  <c:v>45570</c:v>
                </c:pt>
                <c:pt idx="32">
                  <c:v>45571</c:v>
                </c:pt>
                <c:pt idx="33">
                  <c:v>45572</c:v>
                </c:pt>
                <c:pt idx="34">
                  <c:v>45573</c:v>
                </c:pt>
                <c:pt idx="35">
                  <c:v>45574</c:v>
                </c:pt>
                <c:pt idx="36">
                  <c:v>45575</c:v>
                </c:pt>
                <c:pt idx="37">
                  <c:v>45576</c:v>
                </c:pt>
                <c:pt idx="38">
                  <c:v>45577</c:v>
                </c:pt>
                <c:pt idx="39">
                  <c:v>45578</c:v>
                </c:pt>
                <c:pt idx="40">
                  <c:v>45579</c:v>
                </c:pt>
                <c:pt idx="41">
                  <c:v>45580</c:v>
                </c:pt>
                <c:pt idx="42">
                  <c:v>45581</c:v>
                </c:pt>
                <c:pt idx="43">
                  <c:v>45582</c:v>
                </c:pt>
                <c:pt idx="44">
                  <c:v>45583</c:v>
                </c:pt>
                <c:pt idx="45">
                  <c:v>45584</c:v>
                </c:pt>
                <c:pt idx="46">
                  <c:v>45585</c:v>
                </c:pt>
                <c:pt idx="47">
                  <c:v>45586</c:v>
                </c:pt>
                <c:pt idx="48">
                  <c:v>45587</c:v>
                </c:pt>
                <c:pt idx="49">
                  <c:v>45588</c:v>
                </c:pt>
                <c:pt idx="50">
                  <c:v>45589</c:v>
                </c:pt>
                <c:pt idx="51">
                  <c:v>45590</c:v>
                </c:pt>
                <c:pt idx="52">
                  <c:v>45591</c:v>
                </c:pt>
                <c:pt idx="53">
                  <c:v>45592</c:v>
                </c:pt>
                <c:pt idx="54">
                  <c:v>45593</c:v>
                </c:pt>
                <c:pt idx="55">
                  <c:v>45594</c:v>
                </c:pt>
                <c:pt idx="56">
                  <c:v>45595</c:v>
                </c:pt>
                <c:pt idx="57">
                  <c:v>45596</c:v>
                </c:pt>
                <c:pt idx="58">
                  <c:v>45597</c:v>
                </c:pt>
                <c:pt idx="59">
                  <c:v>45598</c:v>
                </c:pt>
                <c:pt idx="60">
                  <c:v>45599</c:v>
                </c:pt>
                <c:pt idx="61">
                  <c:v>45600</c:v>
                </c:pt>
                <c:pt idx="62">
                  <c:v>45601</c:v>
                </c:pt>
                <c:pt idx="63">
                  <c:v>45602</c:v>
                </c:pt>
                <c:pt idx="64">
                  <c:v>45603</c:v>
                </c:pt>
                <c:pt idx="65">
                  <c:v>45604</c:v>
                </c:pt>
                <c:pt idx="66">
                  <c:v>45605</c:v>
                </c:pt>
                <c:pt idx="67">
                  <c:v>45606</c:v>
                </c:pt>
                <c:pt idx="68">
                  <c:v>45607</c:v>
                </c:pt>
                <c:pt idx="69">
                  <c:v>45608</c:v>
                </c:pt>
                <c:pt idx="70">
                  <c:v>45609</c:v>
                </c:pt>
                <c:pt idx="71">
                  <c:v>45610</c:v>
                </c:pt>
                <c:pt idx="72">
                  <c:v>45611</c:v>
                </c:pt>
                <c:pt idx="73">
                  <c:v>45612</c:v>
                </c:pt>
                <c:pt idx="74">
                  <c:v>45613</c:v>
                </c:pt>
                <c:pt idx="75">
                  <c:v>45614</c:v>
                </c:pt>
                <c:pt idx="76">
                  <c:v>45615</c:v>
                </c:pt>
                <c:pt idx="77">
                  <c:v>45616</c:v>
                </c:pt>
                <c:pt idx="78">
                  <c:v>45617</c:v>
                </c:pt>
                <c:pt idx="79">
                  <c:v>45618</c:v>
                </c:pt>
                <c:pt idx="80">
                  <c:v>45619</c:v>
                </c:pt>
                <c:pt idx="81">
                  <c:v>45620</c:v>
                </c:pt>
                <c:pt idx="82">
                  <c:v>45621</c:v>
                </c:pt>
                <c:pt idx="83">
                  <c:v>45622</c:v>
                </c:pt>
                <c:pt idx="84">
                  <c:v>45623</c:v>
                </c:pt>
                <c:pt idx="85">
                  <c:v>45624</c:v>
                </c:pt>
                <c:pt idx="86">
                  <c:v>45625</c:v>
                </c:pt>
                <c:pt idx="87">
                  <c:v>45626</c:v>
                </c:pt>
                <c:pt idx="88">
                  <c:v>45627</c:v>
                </c:pt>
                <c:pt idx="89">
                  <c:v>45628</c:v>
                </c:pt>
                <c:pt idx="90">
                  <c:v>45629</c:v>
                </c:pt>
                <c:pt idx="91">
                  <c:v>45630</c:v>
                </c:pt>
              </c:numCache>
            </c:numRef>
          </c:cat>
          <c:val>
            <c:numRef>
              <c:f>Visualizations!$B$4:$B$95</c:f>
              <c:numCache>
                <c:formatCode>General</c:formatCode>
                <c:ptCount val="92"/>
                <c:pt idx="0">
                  <c:v>27</c:v>
                </c:pt>
                <c:pt idx="1">
                  <c:v>28</c:v>
                </c:pt>
                <c:pt idx="2">
                  <c:v>28</c:v>
                </c:pt>
                <c:pt idx="3">
                  <c:v>37</c:v>
                </c:pt>
                <c:pt idx="4">
                  <c:v>36</c:v>
                </c:pt>
                <c:pt idx="5">
                  <c:v>29</c:v>
                </c:pt>
                <c:pt idx="6">
                  <c:v>57</c:v>
                </c:pt>
                <c:pt idx="7">
                  <c:v>46</c:v>
                </c:pt>
                <c:pt idx="8">
                  <c:v>38</c:v>
                </c:pt>
                <c:pt idx="9">
                  <c:v>33</c:v>
                </c:pt>
                <c:pt idx="10">
                  <c:v>41</c:v>
                </c:pt>
                <c:pt idx="11">
                  <c:v>38</c:v>
                </c:pt>
                <c:pt idx="12">
                  <c:v>28</c:v>
                </c:pt>
                <c:pt idx="13">
                  <c:v>27</c:v>
                </c:pt>
                <c:pt idx="14">
                  <c:v>26</c:v>
                </c:pt>
                <c:pt idx="15">
                  <c:v>31</c:v>
                </c:pt>
                <c:pt idx="16">
                  <c:v>36</c:v>
                </c:pt>
                <c:pt idx="17">
                  <c:v>42</c:v>
                </c:pt>
                <c:pt idx="18">
                  <c:v>39</c:v>
                </c:pt>
                <c:pt idx="19">
                  <c:v>29</c:v>
                </c:pt>
                <c:pt idx="20">
                  <c:v>29</c:v>
                </c:pt>
                <c:pt idx="21">
                  <c:v>34</c:v>
                </c:pt>
                <c:pt idx="22">
                  <c:v>51</c:v>
                </c:pt>
                <c:pt idx="23">
                  <c:v>35</c:v>
                </c:pt>
                <c:pt idx="24">
                  <c:v>39</c:v>
                </c:pt>
                <c:pt idx="25">
                  <c:v>37</c:v>
                </c:pt>
                <c:pt idx="26">
                  <c:v>28</c:v>
                </c:pt>
                <c:pt idx="27">
                  <c:v>40</c:v>
                </c:pt>
                <c:pt idx="28">
                  <c:v>27</c:v>
                </c:pt>
                <c:pt idx="29">
                  <c:v>27</c:v>
                </c:pt>
                <c:pt idx="30">
                  <c:v>29</c:v>
                </c:pt>
                <c:pt idx="31">
                  <c:v>36</c:v>
                </c:pt>
                <c:pt idx="32">
                  <c:v>38</c:v>
                </c:pt>
                <c:pt idx="33">
                  <c:v>28</c:v>
                </c:pt>
                <c:pt idx="34">
                  <c:v>30</c:v>
                </c:pt>
                <c:pt idx="35">
                  <c:v>30</c:v>
                </c:pt>
                <c:pt idx="36">
                  <c:v>33</c:v>
                </c:pt>
                <c:pt idx="37">
                  <c:v>32</c:v>
                </c:pt>
                <c:pt idx="38">
                  <c:v>40</c:v>
                </c:pt>
                <c:pt idx="39">
                  <c:v>38</c:v>
                </c:pt>
                <c:pt idx="40">
                  <c:v>30</c:v>
                </c:pt>
                <c:pt idx="41">
                  <c:v>27</c:v>
                </c:pt>
                <c:pt idx="42">
                  <c:v>26</c:v>
                </c:pt>
                <c:pt idx="43">
                  <c:v>26</c:v>
                </c:pt>
                <c:pt idx="44">
                  <c:v>29</c:v>
                </c:pt>
                <c:pt idx="45">
                  <c:v>36</c:v>
                </c:pt>
                <c:pt idx="46">
                  <c:v>36</c:v>
                </c:pt>
                <c:pt idx="47">
                  <c:v>27</c:v>
                </c:pt>
                <c:pt idx="48">
                  <c:v>26</c:v>
                </c:pt>
                <c:pt idx="49">
                  <c:v>28</c:v>
                </c:pt>
                <c:pt idx="50">
                  <c:v>30</c:v>
                </c:pt>
                <c:pt idx="51">
                  <c:v>32</c:v>
                </c:pt>
                <c:pt idx="52">
                  <c:v>39</c:v>
                </c:pt>
                <c:pt idx="53">
                  <c:v>40</c:v>
                </c:pt>
                <c:pt idx="54">
                  <c:v>27</c:v>
                </c:pt>
                <c:pt idx="55">
                  <c:v>29</c:v>
                </c:pt>
                <c:pt idx="56">
                  <c:v>27</c:v>
                </c:pt>
                <c:pt idx="57">
                  <c:v>26</c:v>
                </c:pt>
                <c:pt idx="58">
                  <c:v>28</c:v>
                </c:pt>
                <c:pt idx="59">
                  <c:v>43</c:v>
                </c:pt>
                <c:pt idx="60">
                  <c:v>44</c:v>
                </c:pt>
                <c:pt idx="61">
                  <c:v>32</c:v>
                </c:pt>
                <c:pt idx="62">
                  <c:v>30</c:v>
                </c:pt>
                <c:pt idx="63">
                  <c:v>22</c:v>
                </c:pt>
                <c:pt idx="64">
                  <c:v>36</c:v>
                </c:pt>
                <c:pt idx="65">
                  <c:v>42</c:v>
                </c:pt>
                <c:pt idx="66">
                  <c:v>49</c:v>
                </c:pt>
                <c:pt idx="67">
                  <c:v>48</c:v>
                </c:pt>
                <c:pt idx="68">
                  <c:v>41</c:v>
                </c:pt>
                <c:pt idx="69">
                  <c:v>35</c:v>
                </c:pt>
                <c:pt idx="70">
                  <c:v>37</c:v>
                </c:pt>
                <c:pt idx="71">
                  <c:v>35</c:v>
                </c:pt>
                <c:pt idx="72">
                  <c:v>35</c:v>
                </c:pt>
                <c:pt idx="73">
                  <c:v>43</c:v>
                </c:pt>
                <c:pt idx="74">
                  <c:v>47</c:v>
                </c:pt>
                <c:pt idx="75">
                  <c:v>36</c:v>
                </c:pt>
                <c:pt idx="76">
                  <c:v>32</c:v>
                </c:pt>
                <c:pt idx="77">
                  <c:v>36</c:v>
                </c:pt>
                <c:pt idx="78">
                  <c:v>45</c:v>
                </c:pt>
                <c:pt idx="79">
                  <c:v>54</c:v>
                </c:pt>
                <c:pt idx="80">
                  <c:v>63</c:v>
                </c:pt>
                <c:pt idx="81">
                  <c:v>64</c:v>
                </c:pt>
                <c:pt idx="82">
                  <c:v>52</c:v>
                </c:pt>
                <c:pt idx="83">
                  <c:v>53</c:v>
                </c:pt>
                <c:pt idx="84">
                  <c:v>57</c:v>
                </c:pt>
                <c:pt idx="85">
                  <c:v>66</c:v>
                </c:pt>
                <c:pt idx="86">
                  <c:v>98</c:v>
                </c:pt>
                <c:pt idx="87">
                  <c:v>79</c:v>
                </c:pt>
                <c:pt idx="88">
                  <c:v>73</c:v>
                </c:pt>
                <c:pt idx="89">
                  <c:v>61</c:v>
                </c:pt>
                <c:pt idx="90">
                  <c:v>51</c:v>
                </c:pt>
                <c:pt idx="91">
                  <c:v>44</c:v>
                </c:pt>
              </c:numCache>
            </c:numRef>
          </c:val>
          <c:smooth val="0"/>
          <c:extLst>
            <c:ext xmlns:c16="http://schemas.microsoft.com/office/drawing/2014/chart" uri="{C3380CC4-5D6E-409C-BE32-E72D297353CC}">
              <c16:uniqueId val="{00000000-B031-40A5-B934-764EF0DB4D76}"/>
            </c:ext>
          </c:extLst>
        </c:ser>
        <c:ser>
          <c:idx val="1"/>
          <c:order val="1"/>
          <c:tx>
            <c:v>Xbox</c:v>
          </c:tx>
          <c:spPr>
            <a:ln w="22225" cap="rnd" cmpd="sng" algn="ctr">
              <a:solidFill>
                <a:schemeClr val="accent2"/>
              </a:solidFill>
              <a:round/>
            </a:ln>
            <a:effectLst/>
          </c:spPr>
          <c:marker>
            <c:symbol val="none"/>
          </c:marker>
          <c:trendline>
            <c:spPr>
              <a:ln w="9525" cap="rnd">
                <a:solidFill>
                  <a:schemeClr val="accent2"/>
                </a:solidFill>
              </a:ln>
              <a:effectLst/>
            </c:spPr>
            <c:trendlineType val="linear"/>
            <c:dispRSqr val="0"/>
            <c:dispEq val="0"/>
          </c:trendline>
          <c:cat>
            <c:numRef>
              <c:f>Visualizations!$A$4:$A$95</c:f>
              <c:numCache>
                <c:formatCode>m/d/yyyy</c:formatCode>
                <c:ptCount val="92"/>
                <c:pt idx="0">
                  <c:v>45539</c:v>
                </c:pt>
                <c:pt idx="1">
                  <c:v>45540</c:v>
                </c:pt>
                <c:pt idx="2">
                  <c:v>45541</c:v>
                </c:pt>
                <c:pt idx="3">
                  <c:v>45542</c:v>
                </c:pt>
                <c:pt idx="4">
                  <c:v>45543</c:v>
                </c:pt>
                <c:pt idx="5">
                  <c:v>45544</c:v>
                </c:pt>
                <c:pt idx="6">
                  <c:v>45545</c:v>
                </c:pt>
                <c:pt idx="7">
                  <c:v>45546</c:v>
                </c:pt>
                <c:pt idx="8">
                  <c:v>45547</c:v>
                </c:pt>
                <c:pt idx="9">
                  <c:v>45548</c:v>
                </c:pt>
                <c:pt idx="10">
                  <c:v>45549</c:v>
                </c:pt>
                <c:pt idx="11">
                  <c:v>45550</c:v>
                </c:pt>
                <c:pt idx="12">
                  <c:v>45551</c:v>
                </c:pt>
                <c:pt idx="13">
                  <c:v>45552</c:v>
                </c:pt>
                <c:pt idx="14">
                  <c:v>45553</c:v>
                </c:pt>
                <c:pt idx="15">
                  <c:v>45554</c:v>
                </c:pt>
                <c:pt idx="16">
                  <c:v>45555</c:v>
                </c:pt>
                <c:pt idx="17">
                  <c:v>45556</c:v>
                </c:pt>
                <c:pt idx="18">
                  <c:v>45557</c:v>
                </c:pt>
                <c:pt idx="19">
                  <c:v>45558</c:v>
                </c:pt>
                <c:pt idx="20">
                  <c:v>45559</c:v>
                </c:pt>
                <c:pt idx="21">
                  <c:v>45560</c:v>
                </c:pt>
                <c:pt idx="22">
                  <c:v>45561</c:v>
                </c:pt>
                <c:pt idx="23">
                  <c:v>45562</c:v>
                </c:pt>
                <c:pt idx="24">
                  <c:v>45563</c:v>
                </c:pt>
                <c:pt idx="25">
                  <c:v>45564</c:v>
                </c:pt>
                <c:pt idx="26">
                  <c:v>45565</c:v>
                </c:pt>
                <c:pt idx="27">
                  <c:v>45566</c:v>
                </c:pt>
                <c:pt idx="28">
                  <c:v>45567</c:v>
                </c:pt>
                <c:pt idx="29">
                  <c:v>45568</c:v>
                </c:pt>
                <c:pt idx="30">
                  <c:v>45569</c:v>
                </c:pt>
                <c:pt idx="31">
                  <c:v>45570</c:v>
                </c:pt>
                <c:pt idx="32">
                  <c:v>45571</c:v>
                </c:pt>
                <c:pt idx="33">
                  <c:v>45572</c:v>
                </c:pt>
                <c:pt idx="34">
                  <c:v>45573</c:v>
                </c:pt>
                <c:pt idx="35">
                  <c:v>45574</c:v>
                </c:pt>
                <c:pt idx="36">
                  <c:v>45575</c:v>
                </c:pt>
                <c:pt idx="37">
                  <c:v>45576</c:v>
                </c:pt>
                <c:pt idx="38">
                  <c:v>45577</c:v>
                </c:pt>
                <c:pt idx="39">
                  <c:v>45578</c:v>
                </c:pt>
                <c:pt idx="40">
                  <c:v>45579</c:v>
                </c:pt>
                <c:pt idx="41">
                  <c:v>45580</c:v>
                </c:pt>
                <c:pt idx="42">
                  <c:v>45581</c:v>
                </c:pt>
                <c:pt idx="43">
                  <c:v>45582</c:v>
                </c:pt>
                <c:pt idx="44">
                  <c:v>45583</c:v>
                </c:pt>
                <c:pt idx="45">
                  <c:v>45584</c:v>
                </c:pt>
                <c:pt idx="46">
                  <c:v>45585</c:v>
                </c:pt>
                <c:pt idx="47">
                  <c:v>45586</c:v>
                </c:pt>
                <c:pt idx="48">
                  <c:v>45587</c:v>
                </c:pt>
                <c:pt idx="49">
                  <c:v>45588</c:v>
                </c:pt>
                <c:pt idx="50">
                  <c:v>45589</c:v>
                </c:pt>
                <c:pt idx="51">
                  <c:v>45590</c:v>
                </c:pt>
                <c:pt idx="52">
                  <c:v>45591</c:v>
                </c:pt>
                <c:pt idx="53">
                  <c:v>45592</c:v>
                </c:pt>
                <c:pt idx="54">
                  <c:v>45593</c:v>
                </c:pt>
                <c:pt idx="55">
                  <c:v>45594</c:v>
                </c:pt>
                <c:pt idx="56">
                  <c:v>45595</c:v>
                </c:pt>
                <c:pt idx="57">
                  <c:v>45596</c:v>
                </c:pt>
                <c:pt idx="58">
                  <c:v>45597</c:v>
                </c:pt>
                <c:pt idx="59">
                  <c:v>45598</c:v>
                </c:pt>
                <c:pt idx="60">
                  <c:v>45599</c:v>
                </c:pt>
                <c:pt idx="61">
                  <c:v>45600</c:v>
                </c:pt>
                <c:pt idx="62">
                  <c:v>45601</c:v>
                </c:pt>
                <c:pt idx="63">
                  <c:v>45602</c:v>
                </c:pt>
                <c:pt idx="64">
                  <c:v>45603</c:v>
                </c:pt>
                <c:pt idx="65">
                  <c:v>45604</c:v>
                </c:pt>
                <c:pt idx="66">
                  <c:v>45605</c:v>
                </c:pt>
                <c:pt idx="67">
                  <c:v>45606</c:v>
                </c:pt>
                <c:pt idx="68">
                  <c:v>45607</c:v>
                </c:pt>
                <c:pt idx="69">
                  <c:v>45608</c:v>
                </c:pt>
                <c:pt idx="70">
                  <c:v>45609</c:v>
                </c:pt>
                <c:pt idx="71">
                  <c:v>45610</c:v>
                </c:pt>
                <c:pt idx="72">
                  <c:v>45611</c:v>
                </c:pt>
                <c:pt idx="73">
                  <c:v>45612</c:v>
                </c:pt>
                <c:pt idx="74">
                  <c:v>45613</c:v>
                </c:pt>
                <c:pt idx="75">
                  <c:v>45614</c:v>
                </c:pt>
                <c:pt idx="76">
                  <c:v>45615</c:v>
                </c:pt>
                <c:pt idx="77">
                  <c:v>45616</c:v>
                </c:pt>
                <c:pt idx="78">
                  <c:v>45617</c:v>
                </c:pt>
                <c:pt idx="79">
                  <c:v>45618</c:v>
                </c:pt>
                <c:pt idx="80">
                  <c:v>45619</c:v>
                </c:pt>
                <c:pt idx="81">
                  <c:v>45620</c:v>
                </c:pt>
                <c:pt idx="82">
                  <c:v>45621</c:v>
                </c:pt>
                <c:pt idx="83">
                  <c:v>45622</c:v>
                </c:pt>
                <c:pt idx="84">
                  <c:v>45623</c:v>
                </c:pt>
                <c:pt idx="85">
                  <c:v>45624</c:v>
                </c:pt>
                <c:pt idx="86">
                  <c:v>45625</c:v>
                </c:pt>
                <c:pt idx="87">
                  <c:v>45626</c:v>
                </c:pt>
                <c:pt idx="88">
                  <c:v>45627</c:v>
                </c:pt>
                <c:pt idx="89">
                  <c:v>45628</c:v>
                </c:pt>
                <c:pt idx="90">
                  <c:v>45629</c:v>
                </c:pt>
                <c:pt idx="91">
                  <c:v>45630</c:v>
                </c:pt>
              </c:numCache>
            </c:numRef>
          </c:cat>
          <c:val>
            <c:numRef>
              <c:f>Visualizations!$C$4:$C$95</c:f>
              <c:numCache>
                <c:formatCode>General</c:formatCode>
                <c:ptCount val="92"/>
                <c:pt idx="0">
                  <c:v>39</c:v>
                </c:pt>
                <c:pt idx="1">
                  <c:v>38</c:v>
                </c:pt>
                <c:pt idx="2">
                  <c:v>37</c:v>
                </c:pt>
                <c:pt idx="3">
                  <c:v>50</c:v>
                </c:pt>
                <c:pt idx="4">
                  <c:v>51</c:v>
                </c:pt>
                <c:pt idx="5">
                  <c:v>35</c:v>
                </c:pt>
                <c:pt idx="6">
                  <c:v>36</c:v>
                </c:pt>
                <c:pt idx="7">
                  <c:v>35</c:v>
                </c:pt>
                <c:pt idx="8">
                  <c:v>36</c:v>
                </c:pt>
                <c:pt idx="9">
                  <c:v>37</c:v>
                </c:pt>
                <c:pt idx="10">
                  <c:v>49</c:v>
                </c:pt>
                <c:pt idx="11">
                  <c:v>47</c:v>
                </c:pt>
                <c:pt idx="12">
                  <c:v>34</c:v>
                </c:pt>
                <c:pt idx="13">
                  <c:v>35</c:v>
                </c:pt>
                <c:pt idx="14">
                  <c:v>35</c:v>
                </c:pt>
                <c:pt idx="15">
                  <c:v>35</c:v>
                </c:pt>
                <c:pt idx="16">
                  <c:v>37</c:v>
                </c:pt>
                <c:pt idx="17">
                  <c:v>51</c:v>
                </c:pt>
                <c:pt idx="18">
                  <c:v>47</c:v>
                </c:pt>
                <c:pt idx="19">
                  <c:v>34</c:v>
                </c:pt>
                <c:pt idx="20">
                  <c:v>33</c:v>
                </c:pt>
                <c:pt idx="21">
                  <c:v>33</c:v>
                </c:pt>
                <c:pt idx="22">
                  <c:v>35</c:v>
                </c:pt>
                <c:pt idx="23">
                  <c:v>36</c:v>
                </c:pt>
                <c:pt idx="24">
                  <c:v>45</c:v>
                </c:pt>
                <c:pt idx="25">
                  <c:v>45</c:v>
                </c:pt>
                <c:pt idx="26">
                  <c:v>33</c:v>
                </c:pt>
                <c:pt idx="27">
                  <c:v>35</c:v>
                </c:pt>
                <c:pt idx="28">
                  <c:v>37</c:v>
                </c:pt>
                <c:pt idx="29">
                  <c:v>33</c:v>
                </c:pt>
                <c:pt idx="30">
                  <c:v>36</c:v>
                </c:pt>
                <c:pt idx="31">
                  <c:v>46</c:v>
                </c:pt>
                <c:pt idx="32">
                  <c:v>46</c:v>
                </c:pt>
                <c:pt idx="33">
                  <c:v>35</c:v>
                </c:pt>
                <c:pt idx="34">
                  <c:v>37</c:v>
                </c:pt>
                <c:pt idx="35">
                  <c:v>38</c:v>
                </c:pt>
                <c:pt idx="36">
                  <c:v>35</c:v>
                </c:pt>
                <c:pt idx="37">
                  <c:v>39</c:v>
                </c:pt>
                <c:pt idx="38">
                  <c:v>50</c:v>
                </c:pt>
                <c:pt idx="39">
                  <c:v>47</c:v>
                </c:pt>
                <c:pt idx="40">
                  <c:v>39</c:v>
                </c:pt>
                <c:pt idx="41">
                  <c:v>38</c:v>
                </c:pt>
                <c:pt idx="42">
                  <c:v>35</c:v>
                </c:pt>
                <c:pt idx="43">
                  <c:v>36</c:v>
                </c:pt>
                <c:pt idx="44">
                  <c:v>36</c:v>
                </c:pt>
                <c:pt idx="45">
                  <c:v>47</c:v>
                </c:pt>
                <c:pt idx="46">
                  <c:v>46</c:v>
                </c:pt>
                <c:pt idx="47">
                  <c:v>34</c:v>
                </c:pt>
                <c:pt idx="48">
                  <c:v>35</c:v>
                </c:pt>
                <c:pt idx="49">
                  <c:v>34</c:v>
                </c:pt>
                <c:pt idx="50">
                  <c:v>41</c:v>
                </c:pt>
                <c:pt idx="51">
                  <c:v>46</c:v>
                </c:pt>
                <c:pt idx="52">
                  <c:v>54</c:v>
                </c:pt>
                <c:pt idx="53">
                  <c:v>54</c:v>
                </c:pt>
                <c:pt idx="54">
                  <c:v>40</c:v>
                </c:pt>
                <c:pt idx="55">
                  <c:v>36</c:v>
                </c:pt>
                <c:pt idx="56">
                  <c:v>36</c:v>
                </c:pt>
                <c:pt idx="57">
                  <c:v>35</c:v>
                </c:pt>
                <c:pt idx="58">
                  <c:v>41</c:v>
                </c:pt>
                <c:pt idx="59">
                  <c:v>58</c:v>
                </c:pt>
                <c:pt idx="60">
                  <c:v>60</c:v>
                </c:pt>
                <c:pt idx="61">
                  <c:v>42</c:v>
                </c:pt>
                <c:pt idx="62">
                  <c:v>38</c:v>
                </c:pt>
                <c:pt idx="63">
                  <c:v>27</c:v>
                </c:pt>
                <c:pt idx="64">
                  <c:v>38</c:v>
                </c:pt>
                <c:pt idx="65">
                  <c:v>42</c:v>
                </c:pt>
                <c:pt idx="66">
                  <c:v>55</c:v>
                </c:pt>
                <c:pt idx="67">
                  <c:v>57</c:v>
                </c:pt>
                <c:pt idx="68">
                  <c:v>47</c:v>
                </c:pt>
                <c:pt idx="69">
                  <c:v>41</c:v>
                </c:pt>
                <c:pt idx="70">
                  <c:v>48</c:v>
                </c:pt>
                <c:pt idx="71">
                  <c:v>46</c:v>
                </c:pt>
                <c:pt idx="72">
                  <c:v>47</c:v>
                </c:pt>
                <c:pt idx="73">
                  <c:v>54</c:v>
                </c:pt>
                <c:pt idx="74">
                  <c:v>61</c:v>
                </c:pt>
                <c:pt idx="75">
                  <c:v>46</c:v>
                </c:pt>
                <c:pt idx="76">
                  <c:v>43</c:v>
                </c:pt>
                <c:pt idx="77">
                  <c:v>47</c:v>
                </c:pt>
                <c:pt idx="78">
                  <c:v>48</c:v>
                </c:pt>
                <c:pt idx="79">
                  <c:v>53</c:v>
                </c:pt>
                <c:pt idx="80">
                  <c:v>70</c:v>
                </c:pt>
                <c:pt idx="81">
                  <c:v>68</c:v>
                </c:pt>
                <c:pt idx="82">
                  <c:v>56</c:v>
                </c:pt>
                <c:pt idx="83">
                  <c:v>57</c:v>
                </c:pt>
                <c:pt idx="84">
                  <c:v>64</c:v>
                </c:pt>
                <c:pt idx="85">
                  <c:v>77</c:v>
                </c:pt>
                <c:pt idx="86">
                  <c:v>100</c:v>
                </c:pt>
                <c:pt idx="87">
                  <c:v>86</c:v>
                </c:pt>
                <c:pt idx="88">
                  <c:v>83</c:v>
                </c:pt>
                <c:pt idx="89">
                  <c:v>63</c:v>
                </c:pt>
                <c:pt idx="90">
                  <c:v>52</c:v>
                </c:pt>
                <c:pt idx="91">
                  <c:v>49</c:v>
                </c:pt>
              </c:numCache>
            </c:numRef>
          </c:val>
          <c:smooth val="0"/>
          <c:extLst>
            <c:ext xmlns:c16="http://schemas.microsoft.com/office/drawing/2014/chart" uri="{C3380CC4-5D6E-409C-BE32-E72D297353CC}">
              <c16:uniqueId val="{00000001-B031-40A5-B934-764EF0DB4D7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10908367"/>
        <c:axId val="110908847"/>
      </c:lineChart>
      <c:dateAx>
        <c:axId val="11090836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sz="1300" b="1"/>
                  <a:t>Date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0908847"/>
        <c:crosses val="autoZero"/>
        <c:auto val="1"/>
        <c:lblOffset val="100"/>
        <c:baseTimeUnit val="days"/>
      </c:dateAx>
      <c:valAx>
        <c:axId val="11090884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sz="1300" b="1"/>
                  <a:t>Interest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0908367"/>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40000"/>
                    <a:lumOff val="60000"/>
                  </a:schemeClr>
                </a:solidFill>
              </a:rPr>
              <a:t>Ps5</a:t>
            </a:r>
            <a:r>
              <a:rPr lang="en-US" b="1" baseline="0">
                <a:solidFill>
                  <a:schemeClr val="accent1">
                    <a:lumMod val="40000"/>
                    <a:lumOff val="60000"/>
                  </a:schemeClr>
                </a:solidFill>
              </a:rPr>
              <a:t> vs Xbox Interest </a:t>
            </a:r>
            <a:r>
              <a:rPr lang="en-US" b="1">
                <a:solidFill>
                  <a:schemeClr val="accent1">
                    <a:lumMod val="40000"/>
                    <a:lumOff val="60000"/>
                  </a:schemeClr>
                </a:solidFill>
              </a:rPr>
              <a:t>from 9/10/24-10/10/24</a:t>
            </a:r>
            <a:r>
              <a:rPr lang="en-US" b="1" baseline="0">
                <a:solidFill>
                  <a:schemeClr val="accent1">
                    <a:lumMod val="40000"/>
                    <a:lumOff val="60000"/>
                  </a:schemeClr>
                </a:solidFill>
              </a:rPr>
              <a:t> </a:t>
            </a:r>
            <a:endParaRPr lang="en-US" b="1">
              <a:solidFill>
                <a:schemeClr val="accent1">
                  <a:lumMod val="40000"/>
                  <a:lumOff val="6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Visualizations!$A$10:$A$40</c:f>
              <c:numCache>
                <c:formatCode>m/d/yyyy</c:formatCode>
                <c:ptCount val="31"/>
                <c:pt idx="0">
                  <c:v>45545</c:v>
                </c:pt>
                <c:pt idx="1">
                  <c:v>45546</c:v>
                </c:pt>
                <c:pt idx="2">
                  <c:v>45547</c:v>
                </c:pt>
                <c:pt idx="3">
                  <c:v>45548</c:v>
                </c:pt>
                <c:pt idx="4">
                  <c:v>45549</c:v>
                </c:pt>
                <c:pt idx="5">
                  <c:v>45550</c:v>
                </c:pt>
                <c:pt idx="6">
                  <c:v>45551</c:v>
                </c:pt>
                <c:pt idx="7">
                  <c:v>45552</c:v>
                </c:pt>
                <c:pt idx="8">
                  <c:v>45553</c:v>
                </c:pt>
                <c:pt idx="9">
                  <c:v>45554</c:v>
                </c:pt>
                <c:pt idx="10">
                  <c:v>45555</c:v>
                </c:pt>
                <c:pt idx="11">
                  <c:v>45556</c:v>
                </c:pt>
                <c:pt idx="12">
                  <c:v>45557</c:v>
                </c:pt>
                <c:pt idx="13">
                  <c:v>45558</c:v>
                </c:pt>
                <c:pt idx="14">
                  <c:v>45559</c:v>
                </c:pt>
                <c:pt idx="15">
                  <c:v>45560</c:v>
                </c:pt>
                <c:pt idx="16">
                  <c:v>45561</c:v>
                </c:pt>
                <c:pt idx="17">
                  <c:v>45562</c:v>
                </c:pt>
                <c:pt idx="18">
                  <c:v>45563</c:v>
                </c:pt>
                <c:pt idx="19">
                  <c:v>45564</c:v>
                </c:pt>
                <c:pt idx="20">
                  <c:v>45565</c:v>
                </c:pt>
                <c:pt idx="21">
                  <c:v>45566</c:v>
                </c:pt>
                <c:pt idx="22">
                  <c:v>45567</c:v>
                </c:pt>
                <c:pt idx="23">
                  <c:v>45568</c:v>
                </c:pt>
                <c:pt idx="24">
                  <c:v>45569</c:v>
                </c:pt>
                <c:pt idx="25">
                  <c:v>45570</c:v>
                </c:pt>
                <c:pt idx="26">
                  <c:v>45571</c:v>
                </c:pt>
                <c:pt idx="27">
                  <c:v>45572</c:v>
                </c:pt>
                <c:pt idx="28">
                  <c:v>45573</c:v>
                </c:pt>
                <c:pt idx="29">
                  <c:v>45574</c:v>
                </c:pt>
                <c:pt idx="30">
                  <c:v>45575</c:v>
                </c:pt>
              </c:numCache>
            </c:numRef>
          </c:xVal>
          <c:yVal>
            <c:numRef>
              <c:f>Visualizations!$B$10:$B$40</c:f>
              <c:numCache>
                <c:formatCode>General</c:formatCode>
                <c:ptCount val="31"/>
                <c:pt idx="0">
                  <c:v>57</c:v>
                </c:pt>
                <c:pt idx="1">
                  <c:v>46</c:v>
                </c:pt>
                <c:pt idx="2">
                  <c:v>38</c:v>
                </c:pt>
                <c:pt idx="3">
                  <c:v>33</c:v>
                </c:pt>
                <c:pt idx="4">
                  <c:v>41</c:v>
                </c:pt>
                <c:pt idx="5">
                  <c:v>38</c:v>
                </c:pt>
                <c:pt idx="6">
                  <c:v>28</c:v>
                </c:pt>
                <c:pt idx="7">
                  <c:v>27</c:v>
                </c:pt>
                <c:pt idx="8">
                  <c:v>26</c:v>
                </c:pt>
                <c:pt idx="9">
                  <c:v>31</c:v>
                </c:pt>
                <c:pt idx="10">
                  <c:v>36</c:v>
                </c:pt>
                <c:pt idx="11">
                  <c:v>42</c:v>
                </c:pt>
                <c:pt idx="12">
                  <c:v>39</c:v>
                </c:pt>
                <c:pt idx="13">
                  <c:v>29</c:v>
                </c:pt>
                <c:pt idx="14">
                  <c:v>29</c:v>
                </c:pt>
                <c:pt idx="15">
                  <c:v>34</c:v>
                </c:pt>
                <c:pt idx="16">
                  <c:v>51</c:v>
                </c:pt>
                <c:pt idx="17">
                  <c:v>35</c:v>
                </c:pt>
                <c:pt idx="18">
                  <c:v>39</c:v>
                </c:pt>
                <c:pt idx="19">
                  <c:v>37</c:v>
                </c:pt>
                <c:pt idx="20">
                  <c:v>28</c:v>
                </c:pt>
                <c:pt idx="21">
                  <c:v>40</c:v>
                </c:pt>
                <c:pt idx="22">
                  <c:v>27</c:v>
                </c:pt>
                <c:pt idx="23">
                  <c:v>27</c:v>
                </c:pt>
                <c:pt idx="24">
                  <c:v>29</c:v>
                </c:pt>
                <c:pt idx="25">
                  <c:v>36</c:v>
                </c:pt>
                <c:pt idx="26">
                  <c:v>38</c:v>
                </c:pt>
                <c:pt idx="27">
                  <c:v>28</c:v>
                </c:pt>
                <c:pt idx="28">
                  <c:v>30</c:v>
                </c:pt>
                <c:pt idx="29">
                  <c:v>30</c:v>
                </c:pt>
                <c:pt idx="30">
                  <c:v>33</c:v>
                </c:pt>
              </c:numCache>
            </c:numRef>
          </c:yVal>
          <c:smooth val="0"/>
          <c:extLst>
            <c:ext xmlns:c16="http://schemas.microsoft.com/office/drawing/2014/chart" uri="{C3380CC4-5D6E-409C-BE32-E72D297353CC}">
              <c16:uniqueId val="{00000000-1B4D-4A9A-9A3D-1CD3B8DA32B1}"/>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Visualizations!$A$10:$A$40</c:f>
              <c:numCache>
                <c:formatCode>m/d/yyyy</c:formatCode>
                <c:ptCount val="31"/>
                <c:pt idx="0">
                  <c:v>45545</c:v>
                </c:pt>
                <c:pt idx="1">
                  <c:v>45546</c:v>
                </c:pt>
                <c:pt idx="2">
                  <c:v>45547</c:v>
                </c:pt>
                <c:pt idx="3">
                  <c:v>45548</c:v>
                </c:pt>
                <c:pt idx="4">
                  <c:v>45549</c:v>
                </c:pt>
                <c:pt idx="5">
                  <c:v>45550</c:v>
                </c:pt>
                <c:pt idx="6">
                  <c:v>45551</c:v>
                </c:pt>
                <c:pt idx="7">
                  <c:v>45552</c:v>
                </c:pt>
                <c:pt idx="8">
                  <c:v>45553</c:v>
                </c:pt>
                <c:pt idx="9">
                  <c:v>45554</c:v>
                </c:pt>
                <c:pt idx="10">
                  <c:v>45555</c:v>
                </c:pt>
                <c:pt idx="11">
                  <c:v>45556</c:v>
                </c:pt>
                <c:pt idx="12">
                  <c:v>45557</c:v>
                </c:pt>
                <c:pt idx="13">
                  <c:v>45558</c:v>
                </c:pt>
                <c:pt idx="14">
                  <c:v>45559</c:v>
                </c:pt>
                <c:pt idx="15">
                  <c:v>45560</c:v>
                </c:pt>
                <c:pt idx="16">
                  <c:v>45561</c:v>
                </c:pt>
                <c:pt idx="17">
                  <c:v>45562</c:v>
                </c:pt>
                <c:pt idx="18">
                  <c:v>45563</c:v>
                </c:pt>
                <c:pt idx="19">
                  <c:v>45564</c:v>
                </c:pt>
                <c:pt idx="20">
                  <c:v>45565</c:v>
                </c:pt>
                <c:pt idx="21">
                  <c:v>45566</c:v>
                </c:pt>
                <c:pt idx="22">
                  <c:v>45567</c:v>
                </c:pt>
                <c:pt idx="23">
                  <c:v>45568</c:v>
                </c:pt>
                <c:pt idx="24">
                  <c:v>45569</c:v>
                </c:pt>
                <c:pt idx="25">
                  <c:v>45570</c:v>
                </c:pt>
                <c:pt idx="26">
                  <c:v>45571</c:v>
                </c:pt>
                <c:pt idx="27">
                  <c:v>45572</c:v>
                </c:pt>
                <c:pt idx="28">
                  <c:v>45573</c:v>
                </c:pt>
                <c:pt idx="29">
                  <c:v>45574</c:v>
                </c:pt>
                <c:pt idx="30">
                  <c:v>45575</c:v>
                </c:pt>
              </c:numCache>
            </c:numRef>
          </c:xVal>
          <c:yVal>
            <c:numRef>
              <c:f>Visualizations!$C$10:$C$40</c:f>
              <c:numCache>
                <c:formatCode>General</c:formatCode>
                <c:ptCount val="31"/>
                <c:pt idx="0">
                  <c:v>36</c:v>
                </c:pt>
                <c:pt idx="1">
                  <c:v>35</c:v>
                </c:pt>
                <c:pt idx="2">
                  <c:v>36</c:v>
                </c:pt>
                <c:pt idx="3">
                  <c:v>37</c:v>
                </c:pt>
                <c:pt idx="4">
                  <c:v>49</c:v>
                </c:pt>
                <c:pt idx="5">
                  <c:v>47</c:v>
                </c:pt>
                <c:pt idx="6">
                  <c:v>34</c:v>
                </c:pt>
                <c:pt idx="7">
                  <c:v>35</c:v>
                </c:pt>
                <c:pt idx="8">
                  <c:v>35</c:v>
                </c:pt>
                <c:pt idx="9">
                  <c:v>35</c:v>
                </c:pt>
                <c:pt idx="10">
                  <c:v>37</c:v>
                </c:pt>
                <c:pt idx="11">
                  <c:v>51</c:v>
                </c:pt>
                <c:pt idx="12">
                  <c:v>47</c:v>
                </c:pt>
                <c:pt idx="13">
                  <c:v>34</c:v>
                </c:pt>
                <c:pt idx="14">
                  <c:v>33</c:v>
                </c:pt>
                <c:pt idx="15">
                  <c:v>33</c:v>
                </c:pt>
                <c:pt idx="16">
                  <c:v>35</c:v>
                </c:pt>
                <c:pt idx="17">
                  <c:v>36</c:v>
                </c:pt>
                <c:pt idx="18">
                  <c:v>45</c:v>
                </c:pt>
                <c:pt idx="19">
                  <c:v>45</c:v>
                </c:pt>
                <c:pt idx="20">
                  <c:v>33</c:v>
                </c:pt>
                <c:pt idx="21">
                  <c:v>35</c:v>
                </c:pt>
                <c:pt idx="22">
                  <c:v>37</c:v>
                </c:pt>
                <c:pt idx="23">
                  <c:v>33</c:v>
                </c:pt>
                <c:pt idx="24">
                  <c:v>36</c:v>
                </c:pt>
                <c:pt idx="25">
                  <c:v>46</c:v>
                </c:pt>
                <c:pt idx="26">
                  <c:v>46</c:v>
                </c:pt>
                <c:pt idx="27">
                  <c:v>35</c:v>
                </c:pt>
                <c:pt idx="28">
                  <c:v>37</c:v>
                </c:pt>
                <c:pt idx="29">
                  <c:v>38</c:v>
                </c:pt>
                <c:pt idx="30">
                  <c:v>35</c:v>
                </c:pt>
              </c:numCache>
            </c:numRef>
          </c:yVal>
          <c:smooth val="0"/>
          <c:extLst>
            <c:ext xmlns:c16="http://schemas.microsoft.com/office/drawing/2014/chart" uri="{C3380CC4-5D6E-409C-BE32-E72D297353CC}">
              <c16:uniqueId val="{00000001-1B4D-4A9A-9A3D-1CD3B8DA32B1}"/>
            </c:ext>
          </c:extLst>
        </c:ser>
        <c:dLbls>
          <c:showLegendKey val="0"/>
          <c:showVal val="0"/>
          <c:showCatName val="0"/>
          <c:showSerName val="0"/>
          <c:showPercent val="0"/>
          <c:showBubbleSize val="0"/>
        </c:dLbls>
        <c:axId val="344563119"/>
        <c:axId val="344559759"/>
      </c:scatterChart>
      <c:valAx>
        <c:axId val="344563119"/>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59759"/>
        <c:crosses val="autoZero"/>
        <c:crossBetween val="midCat"/>
      </c:valAx>
      <c:valAx>
        <c:axId val="34455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63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228600</xdr:colOff>
      <xdr:row>34</xdr:row>
      <xdr:rowOff>190499</xdr:rowOff>
    </xdr:from>
    <xdr:to>
      <xdr:col>10</xdr:col>
      <xdr:colOff>171450</xdr:colOff>
      <xdr:row>37</xdr:row>
      <xdr:rowOff>142874</xdr:rowOff>
    </xdr:to>
    <xdr:sp macro="" textlink="">
      <xdr:nvSpPr>
        <xdr:cNvPr id="2" name="TextBox 1">
          <a:extLst>
            <a:ext uri="{FF2B5EF4-FFF2-40B4-BE49-F238E27FC236}">
              <a16:creationId xmlns:a16="http://schemas.microsoft.com/office/drawing/2014/main" id="{1178AF59-061F-2706-8575-3971C1E0C6EE}"/>
            </a:ext>
          </a:extLst>
        </xdr:cNvPr>
        <xdr:cNvSpPr txBox="1"/>
      </xdr:nvSpPr>
      <xdr:spPr>
        <a:xfrm>
          <a:off x="1628775" y="6696074"/>
          <a:ext cx="5200650"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t>Source:</a:t>
          </a:r>
          <a:r>
            <a:rPr lang="en-US" sz="1200" kern="1200" baseline="0"/>
            <a:t> https://trends.google.com/trends/explore?date=2024-09-04%202024-12-04&amp;geo=US&amp;q=ps5,Xbox&amp;hl=en-US</a:t>
          </a:r>
        </a:p>
        <a:p>
          <a:endParaRPr lang="en-US" sz="1100" kern="1200"/>
        </a:p>
      </xdr:txBody>
    </xdr:sp>
    <xdr:clientData/>
  </xdr:twoCellAnchor>
  <xdr:twoCellAnchor>
    <xdr:from>
      <xdr:col>0</xdr:col>
      <xdr:colOff>485775</xdr:colOff>
      <xdr:row>4</xdr:row>
      <xdr:rowOff>0</xdr:rowOff>
    </xdr:from>
    <xdr:to>
      <xdr:col>12</xdr:col>
      <xdr:colOff>295275</xdr:colOff>
      <xdr:row>33</xdr:row>
      <xdr:rowOff>180976</xdr:rowOff>
    </xdr:to>
    <xdr:sp macro="" textlink="">
      <xdr:nvSpPr>
        <xdr:cNvPr id="3" name="TextBox 2">
          <a:extLst>
            <a:ext uri="{FF2B5EF4-FFF2-40B4-BE49-F238E27FC236}">
              <a16:creationId xmlns:a16="http://schemas.microsoft.com/office/drawing/2014/main" id="{3B21C524-D446-AC5C-BECD-85FB74A315E1}"/>
            </a:ext>
          </a:extLst>
        </xdr:cNvPr>
        <xdr:cNvSpPr txBox="1"/>
      </xdr:nvSpPr>
      <xdr:spPr>
        <a:xfrm>
          <a:off x="485775" y="790575"/>
          <a:ext cx="7781925" cy="5705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kern="1200"/>
            <a:t>Summary</a:t>
          </a:r>
        </a:p>
        <a:p>
          <a:r>
            <a:rPr lang="en-US" sz="1200"/>
            <a:t>I analyzed daily interest scores for PS5 and Xbox in the United States from September 4 to December 4, 2024, utilizing various Excel functions to derive insights. The data included daily scores for both gaming consoles, enabling a thorough examination of consumer interest during this period, which included major holidays like </a:t>
          </a:r>
          <a:r>
            <a:rPr lang="en-US" sz="1200" b="1"/>
            <a:t>Thanksgiving</a:t>
          </a:r>
          <a:r>
            <a:rPr lang="en-US" sz="1200"/>
            <a:t> and </a:t>
          </a:r>
          <a:r>
            <a:rPr lang="en-US" sz="1200" b="1"/>
            <a:t>Black Friday</a:t>
          </a:r>
          <a:r>
            <a:rPr lang="en-US" sz="1200"/>
            <a:t>. These holidays could significantly influence purchasing behavior, as well as consumer engagement with both brands.</a:t>
          </a:r>
        </a:p>
        <a:p>
          <a:r>
            <a:rPr lang="en-US" sz="1200"/>
            <a:t>Using functions such as </a:t>
          </a:r>
          <a:r>
            <a:rPr lang="en-US" sz="1200" b="1"/>
            <a:t>AVERAGE, MIN, MAX, MEDIAN, MODE, COUNT, COUNTIF, COUNTIFS</a:t>
          </a:r>
          <a:r>
            <a:rPr lang="en-US" sz="1200"/>
            <a:t>, and </a:t>
          </a:r>
          <a:r>
            <a:rPr lang="en-US" sz="1200" b="1"/>
            <a:t>FREQUENCY</a:t>
          </a:r>
          <a:r>
            <a:rPr lang="en-US" sz="1200"/>
            <a:t>, I calculated key statistics for both consoles. PS5’s average score was 38, with a minimum of 22 and a maximum of 98, while Xbox’s average was 45, with a minimum of 27 and a maximum of 100. These statistics show a slightly higher average interest for Xbox, indicating stronger consumer preference during this period. Additionally, I used </a:t>
          </a:r>
          <a:r>
            <a:rPr lang="en-US" sz="1200" b="1"/>
            <a:t>SUMIF</a:t>
          </a:r>
          <a:r>
            <a:rPr lang="en-US" sz="1200"/>
            <a:t> and </a:t>
          </a:r>
          <a:r>
            <a:rPr lang="en-US" sz="1200" b="1"/>
            <a:t>AVERAGEIF</a:t>
          </a:r>
          <a:r>
            <a:rPr lang="en-US" sz="1200"/>
            <a:t> to identify trends, finding that a significant portion of scores for both consoles were above their average.</a:t>
          </a:r>
        </a:p>
        <a:p>
          <a:r>
            <a:rPr lang="en-US" sz="1200"/>
            <a:t>The </a:t>
          </a:r>
          <a:r>
            <a:rPr lang="en-US" sz="1200" b="1"/>
            <a:t>line graph</a:t>
          </a:r>
          <a:r>
            <a:rPr lang="en-US" sz="1200"/>
            <a:t> and </a:t>
          </a:r>
          <a:r>
            <a:rPr lang="en-US" sz="1200" b="1"/>
            <a:t>Power BI dashboard</a:t>
          </a:r>
          <a:r>
            <a:rPr lang="en-US" sz="1200"/>
            <a:t> I created effectively illustrated daily interest trends, showing clear peaks during weekends and significant spikes around key shopping dates such as </a:t>
          </a:r>
          <a:r>
            <a:rPr lang="en-US" sz="1200" b="1"/>
            <a:t>Black Friday</a:t>
          </a:r>
          <a:r>
            <a:rPr lang="en-US" sz="1200"/>
            <a:t> and </a:t>
          </a:r>
          <a:r>
            <a:rPr lang="en-US" sz="1200" b="1"/>
            <a:t>Cyber Monday</a:t>
          </a:r>
          <a:r>
            <a:rPr lang="en-US" sz="1200"/>
            <a:t>. These spikes reflect how </a:t>
          </a:r>
          <a:r>
            <a:rPr lang="en-US" sz="1200" b="1"/>
            <a:t>holidays and sales events</a:t>
          </a:r>
          <a:r>
            <a:rPr lang="en-US" sz="1200"/>
            <a:t> impact interest, as consumers tend to engage more actively with gaming products during holiday promotions. The weekend spikes observed were also amplified by these events, suggesting that targeted marketing campaigns around these periods could further enhance engagement.</a:t>
          </a:r>
        </a:p>
        <a:p>
          <a:r>
            <a:rPr lang="en-US" sz="1200"/>
            <a:t>Key takeaways from the analysis include:</a:t>
          </a:r>
        </a:p>
        <a:p>
          <a:r>
            <a:rPr lang="en-US" sz="1200" b="1"/>
            <a:t>Descriptive Analysis</a:t>
          </a:r>
          <a:r>
            <a:rPr lang="en-US" sz="1200"/>
            <a:t>: Xbox maintains a higher average score, showing more consistent consumer interest over the entire period.</a:t>
          </a:r>
        </a:p>
        <a:p>
          <a:r>
            <a:rPr lang="en-US" sz="1200" b="1"/>
            <a:t>Predictive Analysis</a:t>
          </a:r>
          <a:r>
            <a:rPr lang="en-US" sz="1200"/>
            <a:t>: Weekend interest consistently spikes for both consoles, with larger peaks occurring around </a:t>
          </a:r>
          <a:r>
            <a:rPr lang="en-US" sz="1200" b="1"/>
            <a:t>Black Friday</a:t>
          </a:r>
          <a:r>
            <a:rPr lang="en-US" sz="1200"/>
            <a:t> and </a:t>
          </a:r>
          <a:r>
            <a:rPr lang="en-US" sz="1200" b="1"/>
            <a:t>Cyber Monday</a:t>
          </a:r>
          <a:r>
            <a:rPr lang="en-US" sz="1200"/>
            <a:t>, suggesting that these holidays significantly boost consumer engagement.</a:t>
          </a:r>
        </a:p>
        <a:p>
          <a:r>
            <a:rPr lang="en-US" sz="1200" b="1"/>
            <a:t>Prescriptive Analysis</a:t>
          </a:r>
          <a:r>
            <a:rPr lang="en-US" sz="1200"/>
            <a:t>: Given the strong holiday influence on engagement, it is recommended that marketing strategies for both consoles focus on these periods, especially using </a:t>
          </a:r>
          <a:r>
            <a:rPr lang="en-US" sz="1200" b="1"/>
            <a:t>holiday promotions</a:t>
          </a:r>
          <a:r>
            <a:rPr lang="en-US" sz="1200"/>
            <a:t> and </a:t>
          </a:r>
          <a:r>
            <a:rPr lang="en-US" sz="1200" b="1"/>
            <a:t>limited-time offers</a:t>
          </a:r>
          <a:r>
            <a:rPr lang="en-US" sz="1200"/>
            <a:t> to drive interest. PS5 may need additional weekday engagement strategies to match Xbox’s performance during the rest of the year.</a:t>
          </a:r>
        </a:p>
        <a:p>
          <a:r>
            <a:rPr lang="en-US" sz="1200"/>
            <a:t>The data appears reliable, but integrating additional </a:t>
          </a:r>
          <a:r>
            <a:rPr lang="en-US" sz="1200" b="1"/>
            <a:t>consumer sentiment data</a:t>
          </a:r>
          <a:r>
            <a:rPr lang="en-US" sz="1200"/>
            <a:t>, such as social media activity or reviews, could provide a more holistic view of holiday-driven consumer behavior. Such insights would enable brands to fine-tune their strategies for the future.</a:t>
          </a:r>
        </a:p>
        <a:p>
          <a:r>
            <a:rPr lang="en-US" sz="1200"/>
            <a:t>In conclusion, this analysis demonstrates the effectiveness of Excel functions like </a:t>
          </a:r>
          <a:r>
            <a:rPr lang="en-US" sz="1200" b="1"/>
            <a:t>COUNTIF, SUMIF, AVERAGEIF</a:t>
          </a:r>
          <a:r>
            <a:rPr lang="en-US" sz="1200"/>
            <a:t>, and </a:t>
          </a:r>
          <a:r>
            <a:rPr lang="en-US" sz="1200" b="1"/>
            <a:t>FREQUENCY</a:t>
          </a:r>
          <a:r>
            <a:rPr lang="en-US" sz="1200"/>
            <a:t>, as well as data visualization tools like </a:t>
          </a:r>
          <a:r>
            <a:rPr lang="en-US" sz="1200" b="1"/>
            <a:t>Power BI</a:t>
          </a:r>
          <a:r>
            <a:rPr lang="en-US" sz="1200"/>
            <a:t>, to provide a deeper understanding of consumer interest patterns. The findings indicate clear opportunities for leveraging </a:t>
          </a:r>
          <a:r>
            <a:rPr lang="en-US" sz="1200" b="1"/>
            <a:t>holiday trends</a:t>
          </a:r>
          <a:r>
            <a:rPr lang="en-US" sz="1200"/>
            <a:t> in marketing strategies, ultimately driving more effective engagement and sales for both PS5 and Xbox during key times of the year.</a:t>
          </a:r>
        </a:p>
        <a:p>
          <a:pPr algn="l"/>
          <a:endParaRPr lang="en-U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38099</xdr:colOff>
      <xdr:row>2</xdr:row>
      <xdr:rowOff>14287</xdr:rowOff>
    </xdr:from>
    <xdr:to>
      <xdr:col>20</xdr:col>
      <xdr:colOff>542925</xdr:colOff>
      <xdr:row>20</xdr:row>
      <xdr:rowOff>133350</xdr:rowOff>
    </xdr:to>
    <xdr:graphicFrame macro="">
      <xdr:nvGraphicFramePr>
        <xdr:cNvPr id="2" name="Chart 1">
          <a:extLst>
            <a:ext uri="{FF2B5EF4-FFF2-40B4-BE49-F238E27FC236}">
              <a16:creationId xmlns:a16="http://schemas.microsoft.com/office/drawing/2014/main" id="{CDBB2C18-9A7E-5C9B-E6D9-43CD197AB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42861</xdr:colOff>
      <xdr:row>21</xdr:row>
      <xdr:rowOff>23811</xdr:rowOff>
    </xdr:from>
    <xdr:to>
      <xdr:col>20</xdr:col>
      <xdr:colOff>542924</xdr:colOff>
      <xdr:row>37</xdr:row>
      <xdr:rowOff>66674</xdr:rowOff>
    </xdr:to>
    <xdr:graphicFrame macro="">
      <xdr:nvGraphicFramePr>
        <xdr:cNvPr id="3" name="Chart 2">
          <a:extLst>
            <a:ext uri="{FF2B5EF4-FFF2-40B4-BE49-F238E27FC236}">
              <a16:creationId xmlns:a16="http://schemas.microsoft.com/office/drawing/2014/main" id="{E2290713-809E-8025-0011-66D8E4689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52387</xdr:colOff>
      <xdr:row>37</xdr:row>
      <xdr:rowOff>119061</xdr:rowOff>
    </xdr:from>
    <xdr:to>
      <xdr:col>20</xdr:col>
      <xdr:colOff>542925</xdr:colOff>
      <xdr:row>54</xdr:row>
      <xdr:rowOff>161924</xdr:rowOff>
    </xdr:to>
    <xdr:graphicFrame macro="">
      <xdr:nvGraphicFramePr>
        <xdr:cNvPr id="8" name="Chart 7">
          <a:extLst>
            <a:ext uri="{FF2B5EF4-FFF2-40B4-BE49-F238E27FC236}">
              <a16:creationId xmlns:a16="http://schemas.microsoft.com/office/drawing/2014/main" id="{146145F9-B5E3-B759-7627-0CA45AB8F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28575</xdr:colOff>
      <xdr:row>57</xdr:row>
      <xdr:rowOff>19050</xdr:rowOff>
    </xdr:from>
    <xdr:to>
      <xdr:col>20</xdr:col>
      <xdr:colOff>552450</xdr:colOff>
      <xdr:row>87</xdr:row>
      <xdr:rowOff>158248</xdr:rowOff>
    </xdr:to>
    <xdr:pic>
      <xdr:nvPicPr>
        <xdr:cNvPr id="10" name="Picture 9">
          <a:extLst>
            <a:ext uri="{FF2B5EF4-FFF2-40B4-BE49-F238E27FC236}">
              <a16:creationId xmlns:a16="http://schemas.microsoft.com/office/drawing/2014/main" id="{6F84F2BA-BE97-ABB9-88E3-C002CB21CEE2}"/>
            </a:ext>
          </a:extLst>
        </xdr:cNvPr>
        <xdr:cNvPicPr>
          <a:picLocks noChangeAspect="1"/>
        </xdr:cNvPicPr>
      </xdr:nvPicPr>
      <xdr:blipFill>
        <a:blip xmlns:r="http://schemas.openxmlformats.org/officeDocument/2006/relationships" r:embed="rId4"/>
        <a:stretch>
          <a:fillRect/>
        </a:stretch>
      </xdr:blipFill>
      <xdr:spPr>
        <a:xfrm>
          <a:off x="3333750" y="10877550"/>
          <a:ext cx="10887075" cy="61399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602A-2D3D-4EFE-A349-3F2D860647C7}">
  <dimension ref="A1:J28"/>
  <sheetViews>
    <sheetView view="pageLayout" zoomScaleNormal="100" workbookViewId="0">
      <selection activeCell="A2" sqref="A2"/>
    </sheetView>
  </sheetViews>
  <sheetFormatPr defaultRowHeight="15" x14ac:dyDescent="0.25"/>
  <cols>
    <col min="1" max="1" width="10.42578125" bestFit="1" customWidth="1"/>
  </cols>
  <sheetData>
    <row r="1" spans="1:10" ht="15.75" x14ac:dyDescent="0.25">
      <c r="A1" s="4" t="s">
        <v>3</v>
      </c>
      <c r="B1" s="4"/>
      <c r="C1" s="4"/>
    </row>
    <row r="2" spans="1:10" ht="15.75" x14ac:dyDescent="0.25">
      <c r="A2" s="4" t="s">
        <v>4</v>
      </c>
      <c r="B2" s="4"/>
      <c r="C2" s="4"/>
      <c r="J2" s="2"/>
    </row>
    <row r="3" spans="1:10" ht="15.75" x14ac:dyDescent="0.25">
      <c r="A3" s="5">
        <v>45630</v>
      </c>
      <c r="B3" s="4"/>
      <c r="C3" s="4"/>
    </row>
    <row r="28" spans="5:5" x14ac:dyDescent="0.25">
      <c r="E28" t="s">
        <v>29</v>
      </c>
    </row>
  </sheetData>
  <pageMargins left="0.7" right="0.7" top="0.75" bottom="0.75" header="0.3" footer="0.3"/>
  <pageSetup scale="75" orientation="landscape" r:id="rId1"/>
  <headerFooter>
    <oddHeader>&amp;C&amp;"-,Bold"&amp;12Jesse Xiong</oddHeader>
    <oddFooter>&amp;L&amp;"-,Bold"&amp;12Final Comprehensive Analysis: Ps5 vs Xbox&amp;C&amp;"-,Bold"&amp;12Jesse Xiong</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3711A-4EBF-4573-B270-8A01B7CAF6D6}">
  <dimension ref="A1:F95"/>
  <sheetViews>
    <sheetView view="pageLayout" zoomScaleNormal="100" workbookViewId="0">
      <selection activeCell="B11" sqref="B11"/>
    </sheetView>
  </sheetViews>
  <sheetFormatPr defaultRowHeight="15" x14ac:dyDescent="0.25"/>
  <cols>
    <col min="1" max="1" width="12.140625" customWidth="1"/>
    <col min="2" max="2" width="18.28515625" bestFit="1" customWidth="1"/>
    <col min="3" max="3" width="20" customWidth="1"/>
  </cols>
  <sheetData>
    <row r="1" spans="1:3" ht="15.75" x14ac:dyDescent="0.25">
      <c r="A1" s="4" t="s">
        <v>0</v>
      </c>
      <c r="B1" s="4"/>
      <c r="C1" s="4"/>
    </row>
    <row r="2" spans="1:3" ht="15.75" x14ac:dyDescent="0.25">
      <c r="A2" s="4"/>
      <c r="B2" s="4"/>
      <c r="C2" s="4"/>
    </row>
    <row r="3" spans="1:3" ht="15.75" x14ac:dyDescent="0.25">
      <c r="A3" s="6" t="s">
        <v>14</v>
      </c>
      <c r="B3" s="6" t="s">
        <v>1</v>
      </c>
      <c r="C3" s="6" t="s">
        <v>2</v>
      </c>
    </row>
    <row r="4" spans="1:3" ht="15.75" x14ac:dyDescent="0.25">
      <c r="A4" s="7">
        <v>45539</v>
      </c>
      <c r="B4" s="8">
        <v>27</v>
      </c>
      <c r="C4" s="8">
        <v>39</v>
      </c>
    </row>
    <row r="5" spans="1:3" ht="15.75" x14ac:dyDescent="0.25">
      <c r="A5" s="7">
        <v>45540</v>
      </c>
      <c r="B5" s="8">
        <v>28</v>
      </c>
      <c r="C5" s="8">
        <v>38</v>
      </c>
    </row>
    <row r="6" spans="1:3" ht="15.75" x14ac:dyDescent="0.25">
      <c r="A6" s="7">
        <v>45541</v>
      </c>
      <c r="B6" s="8">
        <v>28</v>
      </c>
      <c r="C6" s="8">
        <v>37</v>
      </c>
    </row>
    <row r="7" spans="1:3" ht="15.75" x14ac:dyDescent="0.25">
      <c r="A7" s="7">
        <v>45542</v>
      </c>
      <c r="B7" s="8">
        <v>37</v>
      </c>
      <c r="C7" s="8">
        <v>50</v>
      </c>
    </row>
    <row r="8" spans="1:3" ht="15.75" x14ac:dyDescent="0.25">
      <c r="A8" s="7">
        <v>45543</v>
      </c>
      <c r="B8" s="8">
        <v>36</v>
      </c>
      <c r="C8" s="8">
        <v>51</v>
      </c>
    </row>
    <row r="9" spans="1:3" ht="15.75" x14ac:dyDescent="0.25">
      <c r="A9" s="7">
        <v>45544</v>
      </c>
      <c r="B9" s="8">
        <v>29</v>
      </c>
      <c r="C9" s="8">
        <v>35</v>
      </c>
    </row>
    <row r="10" spans="1:3" ht="15.75" x14ac:dyDescent="0.25">
      <c r="A10" s="7">
        <v>45545</v>
      </c>
      <c r="B10" s="8">
        <v>57</v>
      </c>
      <c r="C10" s="8">
        <v>36</v>
      </c>
    </row>
    <row r="11" spans="1:3" ht="15.75" x14ac:dyDescent="0.25">
      <c r="A11" s="7">
        <v>45546</v>
      </c>
      <c r="B11" s="8">
        <v>46</v>
      </c>
      <c r="C11" s="8">
        <v>35</v>
      </c>
    </row>
    <row r="12" spans="1:3" ht="15.75" x14ac:dyDescent="0.25">
      <c r="A12" s="7">
        <v>45547</v>
      </c>
      <c r="B12" s="8">
        <v>38</v>
      </c>
      <c r="C12" s="8">
        <v>36</v>
      </c>
    </row>
    <row r="13" spans="1:3" ht="15.75" x14ac:dyDescent="0.25">
      <c r="A13" s="7">
        <v>45548</v>
      </c>
      <c r="B13" s="8">
        <v>33</v>
      </c>
      <c r="C13" s="8">
        <v>37</v>
      </c>
    </row>
    <row r="14" spans="1:3" ht="15.75" x14ac:dyDescent="0.25">
      <c r="A14" s="7">
        <v>45549</v>
      </c>
      <c r="B14" s="8">
        <v>41</v>
      </c>
      <c r="C14" s="8">
        <v>49</v>
      </c>
    </row>
    <row r="15" spans="1:3" ht="15.75" x14ac:dyDescent="0.25">
      <c r="A15" s="7">
        <v>45550</v>
      </c>
      <c r="B15" s="8">
        <v>38</v>
      </c>
      <c r="C15" s="8">
        <v>47</v>
      </c>
    </row>
    <row r="16" spans="1:3" ht="15.75" x14ac:dyDescent="0.25">
      <c r="A16" s="7">
        <v>45551</v>
      </c>
      <c r="B16" s="8">
        <v>28</v>
      </c>
      <c r="C16" s="8">
        <v>34</v>
      </c>
    </row>
    <row r="17" spans="1:6" ht="15.75" x14ac:dyDescent="0.25">
      <c r="A17" s="7">
        <v>45552</v>
      </c>
      <c r="B17" s="8">
        <v>27</v>
      </c>
      <c r="C17" s="8">
        <v>35</v>
      </c>
    </row>
    <row r="18" spans="1:6" ht="15.75" x14ac:dyDescent="0.25">
      <c r="A18" s="7">
        <v>45553</v>
      </c>
      <c r="B18" s="8">
        <v>26</v>
      </c>
      <c r="C18" s="8">
        <v>35</v>
      </c>
    </row>
    <row r="19" spans="1:6" ht="15.75" x14ac:dyDescent="0.25">
      <c r="A19" s="7">
        <v>45554</v>
      </c>
      <c r="B19" s="8">
        <v>31</v>
      </c>
      <c r="C19" s="8">
        <v>35</v>
      </c>
    </row>
    <row r="20" spans="1:6" ht="15.75" x14ac:dyDescent="0.25">
      <c r="A20" s="7">
        <v>45555</v>
      </c>
      <c r="B20" s="8">
        <v>36</v>
      </c>
      <c r="C20" s="8">
        <v>37</v>
      </c>
    </row>
    <row r="21" spans="1:6" ht="15.75" x14ac:dyDescent="0.25">
      <c r="A21" s="7">
        <v>45556</v>
      </c>
      <c r="B21" s="8">
        <v>42</v>
      </c>
      <c r="C21" s="8">
        <v>51</v>
      </c>
    </row>
    <row r="22" spans="1:6" ht="15.75" x14ac:dyDescent="0.25">
      <c r="A22" s="7">
        <v>45557</v>
      </c>
      <c r="B22" s="8">
        <v>39</v>
      </c>
      <c r="C22" s="8">
        <v>47</v>
      </c>
    </row>
    <row r="23" spans="1:6" ht="15.75" x14ac:dyDescent="0.25">
      <c r="A23" s="7">
        <v>45558</v>
      </c>
      <c r="B23" s="8">
        <v>29</v>
      </c>
      <c r="C23" s="8">
        <v>34</v>
      </c>
    </row>
    <row r="24" spans="1:6" ht="15.75" x14ac:dyDescent="0.25">
      <c r="A24" s="7">
        <v>45559</v>
      </c>
      <c r="B24" s="8">
        <v>29</v>
      </c>
      <c r="C24" s="8">
        <v>33</v>
      </c>
    </row>
    <row r="25" spans="1:6" ht="15.75" x14ac:dyDescent="0.25">
      <c r="A25" s="7">
        <v>45560</v>
      </c>
      <c r="B25" s="8">
        <v>34</v>
      </c>
      <c r="C25" s="8">
        <v>33</v>
      </c>
    </row>
    <row r="26" spans="1:6" ht="15.75" x14ac:dyDescent="0.25">
      <c r="A26" s="7">
        <v>45561</v>
      </c>
      <c r="B26" s="8">
        <v>51</v>
      </c>
      <c r="C26" s="8">
        <v>35</v>
      </c>
    </row>
    <row r="27" spans="1:6" ht="15.75" x14ac:dyDescent="0.25">
      <c r="A27" s="7">
        <v>45562</v>
      </c>
      <c r="B27" s="8">
        <v>35</v>
      </c>
      <c r="C27" s="8">
        <v>36</v>
      </c>
    </row>
    <row r="28" spans="1:6" ht="15.75" x14ac:dyDescent="0.25">
      <c r="A28" s="7">
        <v>45563</v>
      </c>
      <c r="B28" s="8">
        <v>39</v>
      </c>
      <c r="C28" s="8">
        <v>45</v>
      </c>
    </row>
    <row r="29" spans="1:6" ht="15.75" x14ac:dyDescent="0.25">
      <c r="A29" s="7">
        <v>45564</v>
      </c>
      <c r="B29" s="8">
        <v>37</v>
      </c>
      <c r="C29" s="8">
        <v>45</v>
      </c>
    </row>
    <row r="30" spans="1:6" ht="15.75" x14ac:dyDescent="0.25">
      <c r="A30" s="7">
        <v>45565</v>
      </c>
      <c r="B30" s="8">
        <v>28</v>
      </c>
      <c r="C30" s="8">
        <v>33</v>
      </c>
      <c r="F30" t="s">
        <v>29</v>
      </c>
    </row>
    <row r="31" spans="1:6" ht="15.75" x14ac:dyDescent="0.25">
      <c r="A31" s="7">
        <v>45566</v>
      </c>
      <c r="B31" s="8">
        <v>40</v>
      </c>
      <c r="C31" s="8">
        <v>35</v>
      </c>
    </row>
    <row r="32" spans="1:6" ht="15.75" x14ac:dyDescent="0.25">
      <c r="A32" s="7">
        <v>45567</v>
      </c>
      <c r="B32" s="8">
        <v>27</v>
      </c>
      <c r="C32" s="8">
        <v>37</v>
      </c>
    </row>
    <row r="33" spans="1:3" ht="15.75" x14ac:dyDescent="0.25">
      <c r="A33" s="7">
        <v>45568</v>
      </c>
      <c r="B33" s="8">
        <v>27</v>
      </c>
      <c r="C33" s="8">
        <v>33</v>
      </c>
    </row>
    <row r="34" spans="1:3" ht="15.75" x14ac:dyDescent="0.25">
      <c r="A34" s="7">
        <v>45569</v>
      </c>
      <c r="B34" s="8">
        <v>29</v>
      </c>
      <c r="C34" s="8">
        <v>36</v>
      </c>
    </row>
    <row r="35" spans="1:3" ht="15.75" x14ac:dyDescent="0.25">
      <c r="A35" s="7">
        <v>45570</v>
      </c>
      <c r="B35" s="8">
        <v>36</v>
      </c>
      <c r="C35" s="8">
        <v>46</v>
      </c>
    </row>
    <row r="36" spans="1:3" ht="15.75" x14ac:dyDescent="0.25">
      <c r="A36" s="7">
        <v>45571</v>
      </c>
      <c r="B36" s="8">
        <v>38</v>
      </c>
      <c r="C36" s="8">
        <v>46</v>
      </c>
    </row>
    <row r="37" spans="1:3" ht="15.75" x14ac:dyDescent="0.25">
      <c r="A37" s="7">
        <v>45572</v>
      </c>
      <c r="B37" s="8">
        <v>28</v>
      </c>
      <c r="C37" s="8">
        <v>35</v>
      </c>
    </row>
    <row r="38" spans="1:3" ht="15.75" x14ac:dyDescent="0.25">
      <c r="A38" s="7">
        <v>45573</v>
      </c>
      <c r="B38" s="8">
        <v>30</v>
      </c>
      <c r="C38" s="8">
        <v>37</v>
      </c>
    </row>
    <row r="39" spans="1:3" ht="15.75" x14ac:dyDescent="0.25">
      <c r="A39" s="7">
        <v>45574</v>
      </c>
      <c r="B39" s="8">
        <v>30</v>
      </c>
      <c r="C39" s="8">
        <v>38</v>
      </c>
    </row>
    <row r="40" spans="1:3" ht="15.75" x14ac:dyDescent="0.25">
      <c r="A40" s="7">
        <v>45575</v>
      </c>
      <c r="B40" s="8">
        <v>33</v>
      </c>
      <c r="C40" s="8">
        <v>35</v>
      </c>
    </row>
    <row r="41" spans="1:3" ht="15.75" x14ac:dyDescent="0.25">
      <c r="A41" s="7">
        <v>45576</v>
      </c>
      <c r="B41" s="8">
        <v>32</v>
      </c>
      <c r="C41" s="8">
        <v>39</v>
      </c>
    </row>
    <row r="42" spans="1:3" ht="15.75" x14ac:dyDescent="0.25">
      <c r="A42" s="7">
        <v>45577</v>
      </c>
      <c r="B42" s="8">
        <v>40</v>
      </c>
      <c r="C42" s="8">
        <v>50</v>
      </c>
    </row>
    <row r="43" spans="1:3" ht="15.75" x14ac:dyDescent="0.25">
      <c r="A43" s="7">
        <v>45578</v>
      </c>
      <c r="B43" s="8">
        <v>38</v>
      </c>
      <c r="C43" s="8">
        <v>47</v>
      </c>
    </row>
    <row r="44" spans="1:3" ht="15.75" x14ac:dyDescent="0.25">
      <c r="A44" s="7">
        <v>45579</v>
      </c>
      <c r="B44" s="8">
        <v>30</v>
      </c>
      <c r="C44" s="8">
        <v>39</v>
      </c>
    </row>
    <row r="45" spans="1:3" ht="15.75" x14ac:dyDescent="0.25">
      <c r="A45" s="7">
        <v>45580</v>
      </c>
      <c r="B45" s="8">
        <v>27</v>
      </c>
      <c r="C45" s="8">
        <v>38</v>
      </c>
    </row>
    <row r="46" spans="1:3" ht="15.75" x14ac:dyDescent="0.25">
      <c r="A46" s="7">
        <v>45581</v>
      </c>
      <c r="B46" s="8">
        <v>26</v>
      </c>
      <c r="C46" s="8">
        <v>35</v>
      </c>
    </row>
    <row r="47" spans="1:3" ht="15.75" x14ac:dyDescent="0.25">
      <c r="A47" s="7">
        <v>45582</v>
      </c>
      <c r="B47" s="8">
        <v>26</v>
      </c>
      <c r="C47" s="8">
        <v>36</v>
      </c>
    </row>
    <row r="48" spans="1:3" ht="15.75" x14ac:dyDescent="0.25">
      <c r="A48" s="7">
        <v>45583</v>
      </c>
      <c r="B48" s="8">
        <v>29</v>
      </c>
      <c r="C48" s="8">
        <v>36</v>
      </c>
    </row>
    <row r="49" spans="1:3" ht="15.75" x14ac:dyDescent="0.25">
      <c r="A49" s="7">
        <v>45584</v>
      </c>
      <c r="B49" s="8">
        <v>36</v>
      </c>
      <c r="C49" s="8">
        <v>47</v>
      </c>
    </row>
    <row r="50" spans="1:3" ht="15.75" x14ac:dyDescent="0.25">
      <c r="A50" s="7">
        <v>45585</v>
      </c>
      <c r="B50" s="8">
        <v>36</v>
      </c>
      <c r="C50" s="8">
        <v>46</v>
      </c>
    </row>
    <row r="51" spans="1:3" ht="15.75" x14ac:dyDescent="0.25">
      <c r="A51" s="7">
        <v>45586</v>
      </c>
      <c r="B51" s="8">
        <v>27</v>
      </c>
      <c r="C51" s="8">
        <v>34</v>
      </c>
    </row>
    <row r="52" spans="1:3" ht="15.75" x14ac:dyDescent="0.25">
      <c r="A52" s="7">
        <v>45587</v>
      </c>
      <c r="B52" s="8">
        <v>26</v>
      </c>
      <c r="C52" s="8">
        <v>35</v>
      </c>
    </row>
    <row r="53" spans="1:3" ht="15.75" x14ac:dyDescent="0.25">
      <c r="A53" s="7">
        <v>45588</v>
      </c>
      <c r="B53" s="8">
        <v>28</v>
      </c>
      <c r="C53" s="8">
        <v>34</v>
      </c>
    </row>
    <row r="54" spans="1:3" ht="15.75" x14ac:dyDescent="0.25">
      <c r="A54" s="7">
        <v>45589</v>
      </c>
      <c r="B54" s="8">
        <v>30</v>
      </c>
      <c r="C54" s="8">
        <v>41</v>
      </c>
    </row>
    <row r="55" spans="1:3" ht="15.75" x14ac:dyDescent="0.25">
      <c r="A55" s="7">
        <v>45590</v>
      </c>
      <c r="B55" s="8">
        <v>32</v>
      </c>
      <c r="C55" s="8">
        <v>46</v>
      </c>
    </row>
    <row r="56" spans="1:3" ht="15.75" x14ac:dyDescent="0.25">
      <c r="A56" s="7">
        <v>45591</v>
      </c>
      <c r="B56" s="8">
        <v>39</v>
      </c>
      <c r="C56" s="8">
        <v>54</v>
      </c>
    </row>
    <row r="57" spans="1:3" ht="15.75" x14ac:dyDescent="0.25">
      <c r="A57" s="7">
        <v>45592</v>
      </c>
      <c r="B57" s="8">
        <v>40</v>
      </c>
      <c r="C57" s="8">
        <v>54</v>
      </c>
    </row>
    <row r="58" spans="1:3" ht="15.75" x14ac:dyDescent="0.25">
      <c r="A58" s="7">
        <v>45593</v>
      </c>
      <c r="B58" s="8">
        <v>27</v>
      </c>
      <c r="C58" s="8">
        <v>40</v>
      </c>
    </row>
    <row r="59" spans="1:3" ht="15.75" x14ac:dyDescent="0.25">
      <c r="A59" s="7">
        <v>45594</v>
      </c>
      <c r="B59" s="8">
        <v>29</v>
      </c>
      <c r="C59" s="8">
        <v>36</v>
      </c>
    </row>
    <row r="60" spans="1:3" ht="15.75" x14ac:dyDescent="0.25">
      <c r="A60" s="7">
        <v>45595</v>
      </c>
      <c r="B60" s="8">
        <v>27</v>
      </c>
      <c r="C60" s="8">
        <v>36</v>
      </c>
    </row>
    <row r="61" spans="1:3" ht="15.75" x14ac:dyDescent="0.25">
      <c r="A61" s="7">
        <v>45596</v>
      </c>
      <c r="B61" s="8">
        <v>26</v>
      </c>
      <c r="C61" s="8">
        <v>35</v>
      </c>
    </row>
    <row r="62" spans="1:3" ht="15.75" x14ac:dyDescent="0.25">
      <c r="A62" s="7">
        <v>45597</v>
      </c>
      <c r="B62" s="8">
        <v>28</v>
      </c>
      <c r="C62" s="8">
        <v>41</v>
      </c>
    </row>
    <row r="63" spans="1:3" ht="15.75" x14ac:dyDescent="0.25">
      <c r="A63" s="7">
        <v>45598</v>
      </c>
      <c r="B63" s="8">
        <v>43</v>
      </c>
      <c r="C63" s="8">
        <v>58</v>
      </c>
    </row>
    <row r="64" spans="1:3" ht="15.75" x14ac:dyDescent="0.25">
      <c r="A64" s="7">
        <v>45599</v>
      </c>
      <c r="B64" s="8">
        <v>44</v>
      </c>
      <c r="C64" s="8">
        <v>60</v>
      </c>
    </row>
    <row r="65" spans="1:3" ht="15.75" x14ac:dyDescent="0.25">
      <c r="A65" s="7">
        <v>45600</v>
      </c>
      <c r="B65" s="8">
        <v>32</v>
      </c>
      <c r="C65" s="8">
        <v>42</v>
      </c>
    </row>
    <row r="66" spans="1:3" ht="15.75" x14ac:dyDescent="0.25">
      <c r="A66" s="7">
        <v>45601</v>
      </c>
      <c r="B66" s="8">
        <v>30</v>
      </c>
      <c r="C66" s="8">
        <v>38</v>
      </c>
    </row>
    <row r="67" spans="1:3" ht="15.75" x14ac:dyDescent="0.25">
      <c r="A67" s="7">
        <v>45602</v>
      </c>
      <c r="B67" s="8">
        <v>22</v>
      </c>
      <c r="C67" s="8">
        <v>27</v>
      </c>
    </row>
    <row r="68" spans="1:3" ht="15.75" x14ac:dyDescent="0.25">
      <c r="A68" s="7">
        <v>45603</v>
      </c>
      <c r="B68" s="8">
        <v>36</v>
      </c>
      <c r="C68" s="8">
        <v>38</v>
      </c>
    </row>
    <row r="69" spans="1:3" ht="15.75" x14ac:dyDescent="0.25">
      <c r="A69" s="7">
        <v>45604</v>
      </c>
      <c r="B69" s="8">
        <v>42</v>
      </c>
      <c r="C69" s="8">
        <v>42</v>
      </c>
    </row>
    <row r="70" spans="1:3" ht="15.75" x14ac:dyDescent="0.25">
      <c r="A70" s="7">
        <v>45605</v>
      </c>
      <c r="B70" s="8">
        <v>49</v>
      </c>
      <c r="C70" s="8">
        <v>55</v>
      </c>
    </row>
    <row r="71" spans="1:3" ht="15.75" x14ac:dyDescent="0.25">
      <c r="A71" s="7">
        <v>45606</v>
      </c>
      <c r="B71" s="8">
        <v>48</v>
      </c>
      <c r="C71" s="8">
        <v>57</v>
      </c>
    </row>
    <row r="72" spans="1:3" ht="15.75" x14ac:dyDescent="0.25">
      <c r="A72" s="7">
        <v>45607</v>
      </c>
      <c r="B72" s="8">
        <v>41</v>
      </c>
      <c r="C72" s="8">
        <v>47</v>
      </c>
    </row>
    <row r="73" spans="1:3" ht="15.75" x14ac:dyDescent="0.25">
      <c r="A73" s="7">
        <v>45608</v>
      </c>
      <c r="B73" s="8">
        <v>35</v>
      </c>
      <c r="C73" s="8">
        <v>41</v>
      </c>
    </row>
    <row r="74" spans="1:3" ht="15.75" x14ac:dyDescent="0.25">
      <c r="A74" s="7">
        <v>45609</v>
      </c>
      <c r="B74" s="8">
        <v>37</v>
      </c>
      <c r="C74" s="8">
        <v>48</v>
      </c>
    </row>
    <row r="75" spans="1:3" ht="15.75" x14ac:dyDescent="0.25">
      <c r="A75" s="7">
        <v>45610</v>
      </c>
      <c r="B75" s="8">
        <v>35</v>
      </c>
      <c r="C75" s="8">
        <v>46</v>
      </c>
    </row>
    <row r="76" spans="1:3" ht="15.75" x14ac:dyDescent="0.25">
      <c r="A76" s="7">
        <v>45611</v>
      </c>
      <c r="B76" s="8">
        <v>35</v>
      </c>
      <c r="C76" s="8">
        <v>47</v>
      </c>
    </row>
    <row r="77" spans="1:3" ht="15.75" x14ac:dyDescent="0.25">
      <c r="A77" s="7">
        <v>45612</v>
      </c>
      <c r="B77" s="8">
        <v>43</v>
      </c>
      <c r="C77" s="8">
        <v>54</v>
      </c>
    </row>
    <row r="78" spans="1:3" ht="15.75" x14ac:dyDescent="0.25">
      <c r="A78" s="7">
        <v>45613</v>
      </c>
      <c r="B78" s="8">
        <v>47</v>
      </c>
      <c r="C78" s="8">
        <v>61</v>
      </c>
    </row>
    <row r="79" spans="1:3" ht="15.75" x14ac:dyDescent="0.25">
      <c r="A79" s="7">
        <v>45614</v>
      </c>
      <c r="B79" s="8">
        <v>36</v>
      </c>
      <c r="C79" s="8">
        <v>46</v>
      </c>
    </row>
    <row r="80" spans="1:3" ht="15.75" x14ac:dyDescent="0.25">
      <c r="A80" s="7">
        <v>45615</v>
      </c>
      <c r="B80" s="8">
        <v>32</v>
      </c>
      <c r="C80" s="8">
        <v>43</v>
      </c>
    </row>
    <row r="81" spans="1:3" ht="15.75" x14ac:dyDescent="0.25">
      <c r="A81" s="7">
        <v>45616</v>
      </c>
      <c r="B81" s="8">
        <v>36</v>
      </c>
      <c r="C81" s="8">
        <v>47</v>
      </c>
    </row>
    <row r="82" spans="1:3" ht="15.75" x14ac:dyDescent="0.25">
      <c r="A82" s="7">
        <v>45617</v>
      </c>
      <c r="B82" s="8">
        <v>45</v>
      </c>
      <c r="C82" s="8">
        <v>48</v>
      </c>
    </row>
    <row r="83" spans="1:3" ht="15.75" x14ac:dyDescent="0.25">
      <c r="A83" s="7">
        <v>45618</v>
      </c>
      <c r="B83" s="8">
        <v>54</v>
      </c>
      <c r="C83" s="8">
        <v>53</v>
      </c>
    </row>
    <row r="84" spans="1:3" ht="15.75" x14ac:dyDescent="0.25">
      <c r="A84" s="7">
        <v>45619</v>
      </c>
      <c r="B84" s="8">
        <v>63</v>
      </c>
      <c r="C84" s="8">
        <v>70</v>
      </c>
    </row>
    <row r="85" spans="1:3" ht="15.75" x14ac:dyDescent="0.25">
      <c r="A85" s="7">
        <v>45620</v>
      </c>
      <c r="B85" s="8">
        <v>64</v>
      </c>
      <c r="C85" s="8">
        <v>68</v>
      </c>
    </row>
    <row r="86" spans="1:3" ht="15.75" x14ac:dyDescent="0.25">
      <c r="A86" s="7">
        <v>45621</v>
      </c>
      <c r="B86" s="8">
        <v>52</v>
      </c>
      <c r="C86" s="8">
        <v>56</v>
      </c>
    </row>
    <row r="87" spans="1:3" ht="15.75" x14ac:dyDescent="0.25">
      <c r="A87" s="7">
        <v>45622</v>
      </c>
      <c r="B87" s="8">
        <v>53</v>
      </c>
      <c r="C87" s="8">
        <v>57</v>
      </c>
    </row>
    <row r="88" spans="1:3" ht="15.75" x14ac:dyDescent="0.25">
      <c r="A88" s="7">
        <v>45623</v>
      </c>
      <c r="B88" s="8">
        <v>57</v>
      </c>
      <c r="C88" s="8">
        <v>64</v>
      </c>
    </row>
    <row r="89" spans="1:3" ht="15.75" x14ac:dyDescent="0.25">
      <c r="A89" s="7">
        <v>45624</v>
      </c>
      <c r="B89" s="8">
        <v>66</v>
      </c>
      <c r="C89" s="8">
        <v>77</v>
      </c>
    </row>
    <row r="90" spans="1:3" ht="15.75" x14ac:dyDescent="0.25">
      <c r="A90" s="7">
        <v>45625</v>
      </c>
      <c r="B90" s="8">
        <v>98</v>
      </c>
      <c r="C90" s="8">
        <v>100</v>
      </c>
    </row>
    <row r="91" spans="1:3" ht="15.75" x14ac:dyDescent="0.25">
      <c r="A91" s="7">
        <v>45626</v>
      </c>
      <c r="B91" s="8">
        <v>79</v>
      </c>
      <c r="C91" s="8">
        <v>86</v>
      </c>
    </row>
    <row r="92" spans="1:3" ht="15.75" x14ac:dyDescent="0.25">
      <c r="A92" s="7">
        <v>45627</v>
      </c>
      <c r="B92" s="8">
        <v>73</v>
      </c>
      <c r="C92" s="8">
        <v>83</v>
      </c>
    </row>
    <row r="93" spans="1:3" ht="15.75" x14ac:dyDescent="0.25">
      <c r="A93" s="7">
        <v>45628</v>
      </c>
      <c r="B93" s="8">
        <v>61</v>
      </c>
      <c r="C93" s="8">
        <v>63</v>
      </c>
    </row>
    <row r="94" spans="1:3" ht="15.75" x14ac:dyDescent="0.25">
      <c r="A94" s="7">
        <v>45629</v>
      </c>
      <c r="B94" s="8">
        <v>51</v>
      </c>
      <c r="C94" s="8">
        <v>52</v>
      </c>
    </row>
    <row r="95" spans="1:3" ht="15.75" x14ac:dyDescent="0.25">
      <c r="A95" s="7">
        <v>45630</v>
      </c>
      <c r="B95" s="8">
        <v>44</v>
      </c>
      <c r="C95" s="8">
        <v>49</v>
      </c>
    </row>
  </sheetData>
  <pageMargins left="0.7" right="0.7" top="0.75" bottom="0.75" header="0.3" footer="0.3"/>
  <pageSetup orientation="landscape" r:id="rId1"/>
  <headerFooter>
    <oddHeader>&amp;C&amp;"-,Bold"&amp;12Jesse Xiong</oddHeader>
    <oddFooter>&amp;L&amp;"-,Bold"&amp;12Final Comprehensive Analysis: Ps5 vs Xbox&amp;C&amp;"-,Bold"&amp;12Jesse Xiong</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F8749-881F-4456-B6C9-B16511B9B6B3}">
  <dimension ref="A1:I96"/>
  <sheetViews>
    <sheetView tabSelected="1" view="pageLayout" zoomScaleNormal="100" workbookViewId="0">
      <selection activeCell="F5" sqref="F5"/>
    </sheetView>
  </sheetViews>
  <sheetFormatPr defaultRowHeight="15" x14ac:dyDescent="0.25"/>
  <cols>
    <col min="1" max="1" width="12.140625" customWidth="1"/>
    <col min="2" max="2" width="18.28515625" bestFit="1" customWidth="1"/>
    <col min="3" max="3" width="20.5703125" bestFit="1" customWidth="1"/>
    <col min="6" max="7" width="10.42578125" bestFit="1" customWidth="1"/>
  </cols>
  <sheetData>
    <row r="1" spans="1:9" ht="15.75" x14ac:dyDescent="0.25">
      <c r="A1" s="4" t="s">
        <v>0</v>
      </c>
      <c r="B1" s="4"/>
      <c r="C1" s="4"/>
      <c r="D1" s="4"/>
      <c r="E1" s="4"/>
      <c r="F1" s="4"/>
      <c r="G1" s="4"/>
      <c r="H1" s="4"/>
      <c r="I1" s="4"/>
    </row>
    <row r="2" spans="1:9" ht="15.75" x14ac:dyDescent="0.25">
      <c r="A2" s="4"/>
      <c r="B2" s="4"/>
      <c r="C2" s="4"/>
      <c r="D2" s="4"/>
      <c r="E2" s="4"/>
      <c r="F2" s="4"/>
      <c r="G2" s="4"/>
      <c r="H2" s="4"/>
      <c r="I2" s="4"/>
    </row>
    <row r="3" spans="1:9" ht="15.75" x14ac:dyDescent="0.25">
      <c r="A3" s="6" t="s">
        <v>14</v>
      </c>
      <c r="B3" s="6" t="s">
        <v>1</v>
      </c>
      <c r="C3" s="6" t="s">
        <v>2</v>
      </c>
      <c r="D3" s="4"/>
      <c r="E3" s="9" t="s">
        <v>5</v>
      </c>
      <c r="F3" s="9" t="s">
        <v>12</v>
      </c>
      <c r="G3" s="9" t="s">
        <v>13</v>
      </c>
      <c r="H3" s="4"/>
      <c r="I3" s="4"/>
    </row>
    <row r="4" spans="1:9" ht="15.75" x14ac:dyDescent="0.25">
      <c r="A4" s="7">
        <v>45539</v>
      </c>
      <c r="B4" s="8">
        <v>27</v>
      </c>
      <c r="C4" s="8">
        <v>39</v>
      </c>
      <c r="D4" s="4"/>
      <c r="E4" s="10" t="s">
        <v>6</v>
      </c>
      <c r="F4" s="11">
        <f>AVERAGE(B4:B95)</f>
        <v>38.358695652173914</v>
      </c>
      <c r="G4" s="11">
        <f>AVERAGE(C4:C95)</f>
        <v>45.195652173913047</v>
      </c>
      <c r="H4" s="4"/>
      <c r="I4" s="4"/>
    </row>
    <row r="5" spans="1:9" ht="15.75" x14ac:dyDescent="0.25">
      <c r="A5" s="7">
        <v>45540</v>
      </c>
      <c r="B5" s="8">
        <v>28</v>
      </c>
      <c r="C5" s="8">
        <v>38</v>
      </c>
      <c r="D5" s="4"/>
      <c r="E5" s="10" t="s">
        <v>7</v>
      </c>
      <c r="F5" s="12">
        <f>MIN(B4:B95)</f>
        <v>22</v>
      </c>
      <c r="G5" s="12">
        <f>MIN(C4:C95)</f>
        <v>27</v>
      </c>
      <c r="H5" s="4"/>
      <c r="I5" s="4"/>
    </row>
    <row r="6" spans="1:9" ht="15.75" x14ac:dyDescent="0.25">
      <c r="A6" s="7">
        <v>45541</v>
      </c>
      <c r="B6" s="8">
        <v>28</v>
      </c>
      <c r="C6" s="8">
        <v>37</v>
      </c>
      <c r="D6" s="4"/>
      <c r="E6" s="10" t="s">
        <v>8</v>
      </c>
      <c r="F6" s="12">
        <f>MAX(B4:B95)</f>
        <v>98</v>
      </c>
      <c r="G6" s="12">
        <f>MAX(C4:C95)</f>
        <v>100</v>
      </c>
      <c r="H6" s="4"/>
      <c r="I6" s="4"/>
    </row>
    <row r="7" spans="1:9" ht="15.75" x14ac:dyDescent="0.25">
      <c r="A7" s="7">
        <v>45542</v>
      </c>
      <c r="B7" s="8">
        <v>37</v>
      </c>
      <c r="C7" s="8">
        <v>50</v>
      </c>
      <c r="D7" s="4"/>
      <c r="E7" s="10" t="s">
        <v>9</v>
      </c>
      <c r="F7" s="12">
        <f>MEDIAN(B4:B95)</f>
        <v>36</v>
      </c>
      <c r="G7" s="11">
        <f>MEDIAN(C4:C95)</f>
        <v>41.5</v>
      </c>
      <c r="H7" s="4"/>
      <c r="I7" s="4"/>
    </row>
    <row r="8" spans="1:9" ht="15.75" x14ac:dyDescent="0.25">
      <c r="A8" s="7">
        <v>45543</v>
      </c>
      <c r="B8" s="8">
        <v>36</v>
      </c>
      <c r="C8" s="8">
        <v>51</v>
      </c>
      <c r="D8" s="4"/>
      <c r="E8" s="10" t="s">
        <v>10</v>
      </c>
      <c r="F8" s="12">
        <f>_xlfn.MODE.SNGL(B4:B95)</f>
        <v>27</v>
      </c>
      <c r="G8" s="12">
        <f>_xlfn.MODE.SNGL(C4:C95)</f>
        <v>35</v>
      </c>
      <c r="H8" s="4"/>
      <c r="I8" s="4"/>
    </row>
    <row r="9" spans="1:9" ht="15.75" x14ac:dyDescent="0.25">
      <c r="A9" s="7">
        <v>45544</v>
      </c>
      <c r="B9" s="8">
        <v>29</v>
      </c>
      <c r="C9" s="8">
        <v>35</v>
      </c>
      <c r="D9" s="4"/>
      <c r="E9" s="13" t="s">
        <v>11</v>
      </c>
      <c r="F9" s="14">
        <f>COUNT(B4:B95)</f>
        <v>92</v>
      </c>
      <c r="G9" s="14">
        <f>COUNT(C4:C95)</f>
        <v>92</v>
      </c>
      <c r="H9" s="4"/>
      <c r="I9" s="4"/>
    </row>
    <row r="10" spans="1:9" ht="15.75" x14ac:dyDescent="0.25">
      <c r="A10" s="7">
        <v>45545</v>
      </c>
      <c r="B10" s="8">
        <v>57</v>
      </c>
      <c r="C10" s="8">
        <v>36</v>
      </c>
      <c r="D10" s="4"/>
      <c r="E10" s="4"/>
      <c r="F10" s="5"/>
      <c r="G10" s="5"/>
      <c r="H10" s="4"/>
      <c r="I10" s="4"/>
    </row>
    <row r="11" spans="1:9" ht="15.75" x14ac:dyDescent="0.25">
      <c r="A11" s="7">
        <v>45546</v>
      </c>
      <c r="B11" s="8">
        <v>46</v>
      </c>
      <c r="C11" s="8">
        <v>35</v>
      </c>
      <c r="D11" s="4"/>
      <c r="E11" s="4"/>
      <c r="F11" s="4"/>
      <c r="G11" s="4"/>
      <c r="H11" s="4"/>
      <c r="I11" s="4"/>
    </row>
    <row r="12" spans="1:9" ht="15.75" x14ac:dyDescent="0.25">
      <c r="A12" s="7">
        <v>45547</v>
      </c>
      <c r="B12" s="8">
        <v>38</v>
      </c>
      <c r="C12" s="8">
        <v>36</v>
      </c>
      <c r="D12" s="4"/>
      <c r="E12" s="4"/>
      <c r="F12" s="4"/>
      <c r="G12" s="4"/>
      <c r="H12" s="4"/>
      <c r="I12" s="4"/>
    </row>
    <row r="13" spans="1:9" ht="15.75" x14ac:dyDescent="0.25">
      <c r="A13" s="7">
        <v>45548</v>
      </c>
      <c r="B13" s="8">
        <v>33</v>
      </c>
      <c r="C13" s="8">
        <v>37</v>
      </c>
      <c r="D13" s="4"/>
      <c r="E13" s="4"/>
      <c r="F13" s="4"/>
      <c r="G13" s="4"/>
      <c r="H13" s="4"/>
      <c r="I13" s="4"/>
    </row>
    <row r="14" spans="1:9" ht="15.75" x14ac:dyDescent="0.25">
      <c r="A14" s="7">
        <v>45549</v>
      </c>
      <c r="B14" s="8">
        <v>41</v>
      </c>
      <c r="C14" s="8">
        <v>49</v>
      </c>
      <c r="D14" s="4"/>
      <c r="E14" s="4"/>
      <c r="F14" s="4"/>
      <c r="G14" s="4"/>
      <c r="H14" s="4"/>
      <c r="I14" s="4"/>
    </row>
    <row r="15" spans="1:9" ht="15.75" x14ac:dyDescent="0.25">
      <c r="A15" s="7">
        <v>45550</v>
      </c>
      <c r="B15" s="8">
        <v>38</v>
      </c>
      <c r="C15" s="8">
        <v>47</v>
      </c>
      <c r="D15" s="4"/>
      <c r="E15" s="4"/>
      <c r="F15" s="4"/>
      <c r="G15" s="4"/>
      <c r="H15" s="4"/>
      <c r="I15" s="4"/>
    </row>
    <row r="16" spans="1:9" ht="15.75" x14ac:dyDescent="0.25">
      <c r="A16" s="7">
        <v>45551</v>
      </c>
      <c r="B16" s="8">
        <v>28</v>
      </c>
      <c r="C16" s="8">
        <v>34</v>
      </c>
      <c r="D16" s="4"/>
      <c r="E16" s="4"/>
      <c r="F16" s="4"/>
      <c r="G16" s="4"/>
      <c r="H16" s="4"/>
      <c r="I16" s="4"/>
    </row>
    <row r="17" spans="1:9" ht="15.75" x14ac:dyDescent="0.25">
      <c r="A17" s="7">
        <v>45552</v>
      </c>
      <c r="B17" s="8">
        <v>27</v>
      </c>
      <c r="C17" s="8">
        <v>35</v>
      </c>
      <c r="D17" s="4"/>
      <c r="E17" s="4"/>
      <c r="F17" s="4"/>
      <c r="G17" s="4"/>
      <c r="H17" s="4"/>
      <c r="I17" s="4"/>
    </row>
    <row r="18" spans="1:9" ht="15.75" x14ac:dyDescent="0.25">
      <c r="A18" s="7">
        <v>45553</v>
      </c>
      <c r="B18" s="8">
        <v>26</v>
      </c>
      <c r="C18" s="8">
        <v>35</v>
      </c>
      <c r="D18" s="4"/>
      <c r="E18" s="4"/>
      <c r="F18" s="4"/>
      <c r="G18" s="4"/>
      <c r="H18" s="4"/>
      <c r="I18" s="4"/>
    </row>
    <row r="19" spans="1:9" ht="15.75" x14ac:dyDescent="0.25">
      <c r="A19" s="7">
        <v>45554</v>
      </c>
      <c r="B19" s="8">
        <v>31</v>
      </c>
      <c r="C19" s="8">
        <v>35</v>
      </c>
      <c r="D19" s="4"/>
      <c r="E19" s="4"/>
      <c r="F19" s="4"/>
      <c r="G19" s="4"/>
      <c r="H19" s="4"/>
      <c r="I19" s="4"/>
    </row>
    <row r="20" spans="1:9" ht="15.75" x14ac:dyDescent="0.25">
      <c r="A20" s="7">
        <v>45555</v>
      </c>
      <c r="B20" s="8">
        <v>36</v>
      </c>
      <c r="C20" s="8">
        <v>37</v>
      </c>
      <c r="D20" s="4"/>
      <c r="E20" s="4"/>
      <c r="F20" s="4"/>
      <c r="G20" s="4"/>
      <c r="H20" s="4"/>
      <c r="I20" s="4"/>
    </row>
    <row r="21" spans="1:9" ht="15.75" x14ac:dyDescent="0.25">
      <c r="A21" s="7">
        <v>45556</v>
      </c>
      <c r="B21" s="8">
        <v>42</v>
      </c>
      <c r="C21" s="8">
        <v>51</v>
      </c>
      <c r="D21" s="4"/>
      <c r="E21" s="4"/>
      <c r="F21" s="4"/>
      <c r="G21" s="4"/>
      <c r="H21" s="4"/>
      <c r="I21" s="4"/>
    </row>
    <row r="22" spans="1:9" ht="15.75" x14ac:dyDescent="0.25">
      <c r="A22" s="7">
        <v>45557</v>
      </c>
      <c r="B22" s="8">
        <v>39</v>
      </c>
      <c r="C22" s="8">
        <v>47</v>
      </c>
      <c r="D22" s="4"/>
      <c r="E22" s="4"/>
      <c r="F22" s="4"/>
      <c r="G22" s="4"/>
      <c r="H22" s="4"/>
      <c r="I22" s="4"/>
    </row>
    <row r="23" spans="1:9" ht="15.75" x14ac:dyDescent="0.25">
      <c r="A23" s="7">
        <v>45558</v>
      </c>
      <c r="B23" s="8">
        <v>29</v>
      </c>
      <c r="C23" s="8">
        <v>34</v>
      </c>
      <c r="D23" s="4"/>
      <c r="E23" s="4"/>
      <c r="F23" s="4"/>
      <c r="G23" s="4"/>
      <c r="H23" s="4"/>
      <c r="I23" s="4"/>
    </row>
    <row r="24" spans="1:9" ht="15.75" x14ac:dyDescent="0.25">
      <c r="A24" s="7">
        <v>45559</v>
      </c>
      <c r="B24" s="8">
        <v>29</v>
      </c>
      <c r="C24" s="8">
        <v>33</v>
      </c>
      <c r="D24" s="4"/>
      <c r="E24" s="4"/>
      <c r="F24" s="4"/>
      <c r="G24" s="4"/>
      <c r="H24" s="4"/>
      <c r="I24" s="4"/>
    </row>
    <row r="25" spans="1:9" ht="15.75" x14ac:dyDescent="0.25">
      <c r="A25" s="7">
        <v>45560</v>
      </c>
      <c r="B25" s="8">
        <v>34</v>
      </c>
      <c r="C25" s="8">
        <v>33</v>
      </c>
      <c r="D25" s="4"/>
      <c r="E25" s="4"/>
      <c r="F25" s="4"/>
      <c r="G25" s="4"/>
      <c r="H25" s="4"/>
      <c r="I25" s="4"/>
    </row>
    <row r="26" spans="1:9" ht="15.75" x14ac:dyDescent="0.25">
      <c r="A26" s="7">
        <v>45561</v>
      </c>
      <c r="B26" s="8">
        <v>51</v>
      </c>
      <c r="C26" s="8">
        <v>35</v>
      </c>
      <c r="D26" s="4"/>
      <c r="E26" s="4"/>
      <c r="F26" s="4"/>
      <c r="G26" s="4"/>
      <c r="H26" s="4"/>
      <c r="I26" s="4"/>
    </row>
    <row r="27" spans="1:9" ht="15.75" x14ac:dyDescent="0.25">
      <c r="A27" s="7">
        <v>45562</v>
      </c>
      <c r="B27" s="8">
        <v>35</v>
      </c>
      <c r="C27" s="8">
        <v>36</v>
      </c>
      <c r="D27" s="4"/>
      <c r="E27" s="4"/>
      <c r="F27" s="4"/>
      <c r="G27" s="4"/>
      <c r="H27" s="4"/>
      <c r="I27" s="4"/>
    </row>
    <row r="28" spans="1:9" ht="15.75" x14ac:dyDescent="0.25">
      <c r="A28" s="7">
        <v>45563</v>
      </c>
      <c r="B28" s="8">
        <v>39</v>
      </c>
      <c r="C28" s="8">
        <v>45</v>
      </c>
      <c r="D28" s="4"/>
      <c r="E28" s="4"/>
      <c r="F28" s="4"/>
      <c r="G28" s="4"/>
      <c r="H28" s="4"/>
      <c r="I28" s="4"/>
    </row>
    <row r="29" spans="1:9" ht="15.75" x14ac:dyDescent="0.25">
      <c r="A29" s="7">
        <v>45564</v>
      </c>
      <c r="B29" s="8">
        <v>37</v>
      </c>
      <c r="C29" s="8">
        <v>45</v>
      </c>
      <c r="D29" s="4"/>
      <c r="E29" s="4"/>
      <c r="F29" s="4"/>
      <c r="G29" s="4"/>
      <c r="H29" s="4"/>
      <c r="I29" s="4"/>
    </row>
    <row r="30" spans="1:9" ht="15.75" x14ac:dyDescent="0.25">
      <c r="A30" s="7">
        <v>45565</v>
      </c>
      <c r="B30" s="8">
        <v>28</v>
      </c>
      <c r="C30" s="8">
        <v>33</v>
      </c>
      <c r="D30" s="4"/>
      <c r="E30" s="4"/>
      <c r="F30" s="4"/>
      <c r="G30" s="4"/>
      <c r="H30" s="4"/>
      <c r="I30" s="4"/>
    </row>
    <row r="31" spans="1:9" ht="15.75" x14ac:dyDescent="0.25">
      <c r="A31" s="7">
        <v>45566</v>
      </c>
      <c r="B31" s="8">
        <v>40</v>
      </c>
      <c r="C31" s="8">
        <v>35</v>
      </c>
      <c r="D31" s="4"/>
      <c r="E31" s="4"/>
      <c r="F31" s="4"/>
      <c r="G31" s="4"/>
      <c r="H31" s="4"/>
      <c r="I31" s="4"/>
    </row>
    <row r="32" spans="1:9" ht="15.75" x14ac:dyDescent="0.25">
      <c r="A32" s="7">
        <v>45567</v>
      </c>
      <c r="B32" s="8">
        <v>27</v>
      </c>
      <c r="C32" s="8">
        <v>37</v>
      </c>
      <c r="D32" s="4"/>
      <c r="E32" s="4"/>
      <c r="F32" s="4"/>
      <c r="G32" s="4"/>
      <c r="H32" s="4"/>
      <c r="I32" s="4"/>
    </row>
    <row r="33" spans="1:9" ht="15.75" x14ac:dyDescent="0.25">
      <c r="A33" s="7">
        <v>45568</v>
      </c>
      <c r="B33" s="8">
        <v>27</v>
      </c>
      <c r="C33" s="8">
        <v>33</v>
      </c>
      <c r="D33" s="4"/>
      <c r="E33" s="4"/>
      <c r="F33" s="4"/>
      <c r="G33" s="4"/>
      <c r="H33" s="4"/>
      <c r="I33" s="4"/>
    </row>
    <row r="34" spans="1:9" ht="15.75" x14ac:dyDescent="0.25">
      <c r="A34" s="7">
        <v>45569</v>
      </c>
      <c r="B34" s="8">
        <v>29</v>
      </c>
      <c r="C34" s="8">
        <v>36</v>
      </c>
      <c r="D34" s="4"/>
      <c r="E34" s="4"/>
      <c r="F34" s="4"/>
      <c r="G34" s="4"/>
      <c r="H34" s="4"/>
      <c r="I34" s="4"/>
    </row>
    <row r="35" spans="1:9" ht="15.75" x14ac:dyDescent="0.25">
      <c r="A35" s="7">
        <v>45570</v>
      </c>
      <c r="B35" s="8">
        <v>36</v>
      </c>
      <c r="C35" s="8">
        <v>46</v>
      </c>
      <c r="D35" s="4"/>
      <c r="E35" s="4"/>
      <c r="F35" s="4"/>
      <c r="G35" s="4"/>
      <c r="H35" s="4"/>
      <c r="I35" s="4"/>
    </row>
    <row r="36" spans="1:9" ht="15.75" x14ac:dyDescent="0.25">
      <c r="A36" s="7">
        <v>45571</v>
      </c>
      <c r="B36" s="8">
        <v>38</v>
      </c>
      <c r="C36" s="8">
        <v>46</v>
      </c>
      <c r="D36" s="4"/>
      <c r="E36" s="4"/>
      <c r="F36" s="4"/>
      <c r="G36" s="4"/>
      <c r="H36" s="4"/>
      <c r="I36" s="4"/>
    </row>
    <row r="37" spans="1:9" ht="15.75" x14ac:dyDescent="0.25">
      <c r="A37" s="7">
        <v>45572</v>
      </c>
      <c r="B37" s="8">
        <v>28</v>
      </c>
      <c r="C37" s="8">
        <v>35</v>
      </c>
      <c r="D37" s="4"/>
      <c r="E37" s="4"/>
      <c r="F37" s="4"/>
      <c r="G37" s="4"/>
      <c r="H37" s="4"/>
      <c r="I37" s="4"/>
    </row>
    <row r="38" spans="1:9" ht="15.75" x14ac:dyDescent="0.25">
      <c r="A38" s="7">
        <v>45573</v>
      </c>
      <c r="B38" s="8">
        <v>30</v>
      </c>
      <c r="C38" s="8">
        <v>37</v>
      </c>
      <c r="D38" s="4"/>
      <c r="E38" s="4"/>
      <c r="F38" s="4"/>
      <c r="G38" s="4"/>
      <c r="H38" s="4"/>
      <c r="I38" s="4"/>
    </row>
    <row r="39" spans="1:9" ht="15.75" x14ac:dyDescent="0.25">
      <c r="A39" s="7">
        <v>45574</v>
      </c>
      <c r="B39" s="8">
        <v>30</v>
      </c>
      <c r="C39" s="8">
        <v>38</v>
      </c>
      <c r="D39" s="4"/>
      <c r="E39" s="4"/>
      <c r="F39" s="4"/>
      <c r="G39" s="4"/>
      <c r="H39" s="4"/>
      <c r="I39" s="4"/>
    </row>
    <row r="40" spans="1:9" ht="15.75" x14ac:dyDescent="0.25">
      <c r="A40" s="7">
        <v>45575</v>
      </c>
      <c r="B40" s="8">
        <v>33</v>
      </c>
      <c r="C40" s="8">
        <v>35</v>
      </c>
      <c r="D40" s="4"/>
      <c r="E40" s="4"/>
      <c r="F40" s="4"/>
      <c r="G40" s="4"/>
      <c r="H40" s="4"/>
      <c r="I40" s="4"/>
    </row>
    <row r="41" spans="1:9" ht="15.75" x14ac:dyDescent="0.25">
      <c r="A41" s="7">
        <v>45576</v>
      </c>
      <c r="B41" s="8">
        <v>32</v>
      </c>
      <c r="C41" s="8">
        <v>39</v>
      </c>
      <c r="D41" s="4"/>
      <c r="E41" s="4"/>
      <c r="F41" s="4"/>
      <c r="G41" s="4"/>
      <c r="H41" s="4"/>
      <c r="I41" s="4"/>
    </row>
    <row r="42" spans="1:9" ht="15.75" x14ac:dyDescent="0.25">
      <c r="A42" s="7">
        <v>45577</v>
      </c>
      <c r="B42" s="8">
        <v>40</v>
      </c>
      <c r="C42" s="8">
        <v>50</v>
      </c>
      <c r="D42" s="4"/>
      <c r="E42" s="4"/>
      <c r="F42" s="4"/>
      <c r="G42" s="4"/>
      <c r="H42" s="4"/>
      <c r="I42" s="4"/>
    </row>
    <row r="43" spans="1:9" ht="15.75" x14ac:dyDescent="0.25">
      <c r="A43" s="7">
        <v>45578</v>
      </c>
      <c r="B43" s="8">
        <v>38</v>
      </c>
      <c r="C43" s="8">
        <v>47</v>
      </c>
      <c r="D43" s="4"/>
      <c r="E43" s="4"/>
      <c r="F43" s="4"/>
      <c r="G43" s="4"/>
      <c r="H43" s="4"/>
      <c r="I43" s="4"/>
    </row>
    <row r="44" spans="1:9" ht="15.75" x14ac:dyDescent="0.25">
      <c r="A44" s="7">
        <v>45579</v>
      </c>
      <c r="B44" s="8">
        <v>30</v>
      </c>
      <c r="C44" s="8">
        <v>39</v>
      </c>
      <c r="D44" s="4"/>
      <c r="E44" s="4"/>
      <c r="F44" s="4"/>
      <c r="G44" s="4"/>
      <c r="H44" s="4"/>
      <c r="I44" s="4"/>
    </row>
    <row r="45" spans="1:9" ht="15.75" x14ac:dyDescent="0.25">
      <c r="A45" s="7">
        <v>45580</v>
      </c>
      <c r="B45" s="8">
        <v>27</v>
      </c>
      <c r="C45" s="8">
        <v>38</v>
      </c>
      <c r="D45" s="4"/>
      <c r="E45" s="4"/>
      <c r="F45" s="4"/>
      <c r="G45" s="4"/>
      <c r="H45" s="4"/>
      <c r="I45" s="4"/>
    </row>
    <row r="46" spans="1:9" ht="15.75" x14ac:dyDescent="0.25">
      <c r="A46" s="7">
        <v>45581</v>
      </c>
      <c r="B46" s="8">
        <v>26</v>
      </c>
      <c r="C46" s="8">
        <v>35</v>
      </c>
      <c r="D46" s="4"/>
      <c r="E46" s="4"/>
      <c r="F46" s="4"/>
      <c r="G46" s="4"/>
      <c r="H46" s="4"/>
      <c r="I46" s="4"/>
    </row>
    <row r="47" spans="1:9" ht="15.75" x14ac:dyDescent="0.25">
      <c r="A47" s="7">
        <v>45582</v>
      </c>
      <c r="B47" s="8">
        <v>26</v>
      </c>
      <c r="C47" s="8">
        <v>36</v>
      </c>
      <c r="D47" s="4"/>
      <c r="E47" s="4"/>
      <c r="F47" s="4"/>
      <c r="G47" s="4"/>
      <c r="H47" s="4"/>
      <c r="I47" s="4"/>
    </row>
    <row r="48" spans="1:9" ht="15.75" x14ac:dyDescent="0.25">
      <c r="A48" s="7">
        <v>45583</v>
      </c>
      <c r="B48" s="8">
        <v>29</v>
      </c>
      <c r="C48" s="8">
        <v>36</v>
      </c>
      <c r="D48" s="4"/>
      <c r="E48" s="4"/>
      <c r="F48" s="4"/>
      <c r="G48" s="4"/>
      <c r="H48" s="4"/>
      <c r="I48" s="4"/>
    </row>
    <row r="49" spans="1:9" ht="15.75" x14ac:dyDescent="0.25">
      <c r="A49" s="7">
        <v>45584</v>
      </c>
      <c r="B49" s="8">
        <v>36</v>
      </c>
      <c r="C49" s="8">
        <v>47</v>
      </c>
      <c r="D49" s="4"/>
      <c r="E49" s="4"/>
      <c r="F49" s="4"/>
      <c r="G49" s="4"/>
      <c r="H49" s="4"/>
      <c r="I49" s="4"/>
    </row>
    <row r="50" spans="1:9" ht="15.75" x14ac:dyDescent="0.25">
      <c r="A50" s="7">
        <v>45585</v>
      </c>
      <c r="B50" s="8">
        <v>36</v>
      </c>
      <c r="C50" s="8">
        <v>46</v>
      </c>
      <c r="D50" s="4"/>
      <c r="E50" s="4"/>
      <c r="F50" s="4"/>
      <c r="G50" s="4"/>
      <c r="H50" s="4"/>
      <c r="I50" s="4"/>
    </row>
    <row r="51" spans="1:9" ht="15.75" x14ac:dyDescent="0.25">
      <c r="A51" s="7">
        <v>45586</v>
      </c>
      <c r="B51" s="8">
        <v>27</v>
      </c>
      <c r="C51" s="8">
        <v>34</v>
      </c>
      <c r="D51" s="4"/>
      <c r="E51" s="4"/>
      <c r="F51" s="4"/>
      <c r="G51" s="4"/>
      <c r="H51" s="4"/>
      <c r="I51" s="4"/>
    </row>
    <row r="52" spans="1:9" ht="15.75" x14ac:dyDescent="0.25">
      <c r="A52" s="7">
        <v>45587</v>
      </c>
      <c r="B52" s="8">
        <v>26</v>
      </c>
      <c r="C52" s="8">
        <v>35</v>
      </c>
      <c r="D52" s="4"/>
      <c r="E52" s="4"/>
      <c r="F52" s="4"/>
      <c r="G52" s="4"/>
      <c r="H52" s="4"/>
      <c r="I52" s="4"/>
    </row>
    <row r="53" spans="1:9" ht="15.75" x14ac:dyDescent="0.25">
      <c r="A53" s="7">
        <v>45588</v>
      </c>
      <c r="B53" s="8">
        <v>28</v>
      </c>
      <c r="C53" s="8">
        <v>34</v>
      </c>
      <c r="D53" s="4"/>
      <c r="E53" s="4"/>
      <c r="F53" s="4"/>
      <c r="G53" s="4"/>
      <c r="H53" s="4"/>
      <c r="I53" s="4"/>
    </row>
    <row r="54" spans="1:9" ht="15.75" x14ac:dyDescent="0.25">
      <c r="A54" s="7">
        <v>45589</v>
      </c>
      <c r="B54" s="8">
        <v>30</v>
      </c>
      <c r="C54" s="8">
        <v>41</v>
      </c>
      <c r="D54" s="4"/>
      <c r="E54" s="4"/>
      <c r="F54" s="4"/>
      <c r="G54" s="4"/>
      <c r="H54" s="4"/>
      <c r="I54" s="4"/>
    </row>
    <row r="55" spans="1:9" ht="15.75" x14ac:dyDescent="0.25">
      <c r="A55" s="7">
        <v>45590</v>
      </c>
      <c r="B55" s="8">
        <v>32</v>
      </c>
      <c r="C55" s="8">
        <v>46</v>
      </c>
      <c r="D55" s="4"/>
      <c r="E55" s="4"/>
      <c r="F55" s="4"/>
      <c r="G55" s="4"/>
      <c r="H55" s="4"/>
      <c r="I55" s="4"/>
    </row>
    <row r="56" spans="1:9" ht="15.75" x14ac:dyDescent="0.25">
      <c r="A56" s="7">
        <v>45591</v>
      </c>
      <c r="B56" s="8">
        <v>39</v>
      </c>
      <c r="C56" s="8">
        <v>54</v>
      </c>
      <c r="D56" s="4"/>
      <c r="E56" s="4"/>
      <c r="F56" s="4"/>
      <c r="G56" s="4"/>
      <c r="H56" s="4"/>
      <c r="I56" s="4"/>
    </row>
    <row r="57" spans="1:9" ht="15.75" x14ac:dyDescent="0.25">
      <c r="A57" s="7">
        <v>45592</v>
      </c>
      <c r="B57" s="8">
        <v>40</v>
      </c>
      <c r="C57" s="8">
        <v>54</v>
      </c>
      <c r="D57" s="4"/>
      <c r="E57" s="4"/>
      <c r="F57" s="4"/>
      <c r="G57" s="4"/>
      <c r="H57" s="4"/>
      <c r="I57" s="4"/>
    </row>
    <row r="58" spans="1:9" ht="15.75" x14ac:dyDescent="0.25">
      <c r="A58" s="7">
        <v>45593</v>
      </c>
      <c r="B58" s="8">
        <v>27</v>
      </c>
      <c r="C58" s="8">
        <v>40</v>
      </c>
      <c r="D58" s="4"/>
      <c r="E58" s="4"/>
      <c r="F58" s="4"/>
      <c r="G58" s="4"/>
      <c r="H58" s="4"/>
      <c r="I58" s="4"/>
    </row>
    <row r="59" spans="1:9" ht="15.75" x14ac:dyDescent="0.25">
      <c r="A59" s="7">
        <v>45594</v>
      </c>
      <c r="B59" s="8">
        <v>29</v>
      </c>
      <c r="C59" s="8">
        <v>36</v>
      </c>
      <c r="D59" s="4"/>
      <c r="E59" s="4"/>
      <c r="F59" s="4"/>
      <c r="G59" s="4"/>
      <c r="H59" s="4"/>
      <c r="I59" s="4"/>
    </row>
    <row r="60" spans="1:9" ht="15.75" x14ac:dyDescent="0.25">
      <c r="A60" s="7">
        <v>45595</v>
      </c>
      <c r="B60" s="8">
        <v>27</v>
      </c>
      <c r="C60" s="8">
        <v>36</v>
      </c>
      <c r="D60" s="4"/>
      <c r="E60" s="4"/>
      <c r="F60" s="4"/>
      <c r="G60" s="4"/>
      <c r="H60" s="4"/>
      <c r="I60" s="4"/>
    </row>
    <row r="61" spans="1:9" ht="15.75" x14ac:dyDescent="0.25">
      <c r="A61" s="7">
        <v>45596</v>
      </c>
      <c r="B61" s="8">
        <v>26</v>
      </c>
      <c r="C61" s="8">
        <v>35</v>
      </c>
      <c r="D61" s="4"/>
      <c r="E61" s="4"/>
      <c r="F61" s="4"/>
      <c r="G61" s="4"/>
      <c r="H61" s="4"/>
      <c r="I61" s="4"/>
    </row>
    <row r="62" spans="1:9" ht="15.75" x14ac:dyDescent="0.25">
      <c r="A62" s="7">
        <v>45597</v>
      </c>
      <c r="B62" s="8">
        <v>28</v>
      </c>
      <c r="C62" s="8">
        <v>41</v>
      </c>
      <c r="D62" s="4"/>
      <c r="E62" s="4"/>
      <c r="F62" s="4"/>
      <c r="G62" s="4"/>
      <c r="H62" s="4"/>
      <c r="I62" s="4"/>
    </row>
    <row r="63" spans="1:9" ht="15.75" x14ac:dyDescent="0.25">
      <c r="A63" s="7">
        <v>45598</v>
      </c>
      <c r="B63" s="8">
        <v>43</v>
      </c>
      <c r="C63" s="8">
        <v>58</v>
      </c>
      <c r="D63" s="4"/>
      <c r="E63" s="4"/>
      <c r="F63" s="4"/>
      <c r="G63" s="4"/>
      <c r="H63" s="4"/>
      <c r="I63" s="4"/>
    </row>
    <row r="64" spans="1:9" ht="15.75" x14ac:dyDescent="0.25">
      <c r="A64" s="7">
        <v>45599</v>
      </c>
      <c r="B64" s="8">
        <v>44</v>
      </c>
      <c r="C64" s="8">
        <v>60</v>
      </c>
      <c r="D64" s="4"/>
      <c r="E64" s="4"/>
      <c r="F64" s="4"/>
      <c r="G64" s="4"/>
      <c r="H64" s="4"/>
      <c r="I64" s="4"/>
    </row>
    <row r="65" spans="1:9" ht="15.75" x14ac:dyDescent="0.25">
      <c r="A65" s="7">
        <v>45600</v>
      </c>
      <c r="B65" s="8">
        <v>32</v>
      </c>
      <c r="C65" s="8">
        <v>42</v>
      </c>
      <c r="D65" s="4"/>
      <c r="E65" s="4"/>
      <c r="F65" s="4"/>
      <c r="G65" s="4"/>
      <c r="H65" s="4"/>
      <c r="I65" s="4"/>
    </row>
    <row r="66" spans="1:9" ht="15.75" x14ac:dyDescent="0.25">
      <c r="A66" s="7">
        <v>45601</v>
      </c>
      <c r="B66" s="8">
        <v>30</v>
      </c>
      <c r="C66" s="8">
        <v>38</v>
      </c>
      <c r="D66" s="4"/>
      <c r="E66" s="4"/>
      <c r="F66" s="4"/>
      <c r="G66" s="4"/>
      <c r="H66" s="4"/>
      <c r="I66" s="4"/>
    </row>
    <row r="67" spans="1:9" ht="15.75" x14ac:dyDescent="0.25">
      <c r="A67" s="7">
        <v>45602</v>
      </c>
      <c r="B67" s="8">
        <v>22</v>
      </c>
      <c r="C67" s="8">
        <v>27</v>
      </c>
      <c r="D67" s="4"/>
      <c r="E67" s="4"/>
      <c r="F67" s="4"/>
      <c r="G67" s="4"/>
      <c r="H67" s="4"/>
      <c r="I67" s="4"/>
    </row>
    <row r="68" spans="1:9" ht="15.75" x14ac:dyDescent="0.25">
      <c r="A68" s="7">
        <v>45603</v>
      </c>
      <c r="B68" s="8">
        <v>36</v>
      </c>
      <c r="C68" s="8">
        <v>38</v>
      </c>
      <c r="D68" s="4"/>
      <c r="E68" s="4"/>
      <c r="F68" s="4"/>
      <c r="G68" s="4"/>
      <c r="H68" s="4"/>
      <c r="I68" s="4"/>
    </row>
    <row r="69" spans="1:9" ht="15.75" x14ac:dyDescent="0.25">
      <c r="A69" s="7">
        <v>45604</v>
      </c>
      <c r="B69" s="8">
        <v>42</v>
      </c>
      <c r="C69" s="8">
        <v>42</v>
      </c>
      <c r="D69" s="4"/>
      <c r="E69" s="4"/>
      <c r="F69" s="4"/>
      <c r="G69" s="4"/>
      <c r="H69" s="4"/>
      <c r="I69" s="4"/>
    </row>
    <row r="70" spans="1:9" ht="15.75" x14ac:dyDescent="0.25">
      <c r="A70" s="7">
        <v>45605</v>
      </c>
      <c r="B70" s="8">
        <v>49</v>
      </c>
      <c r="C70" s="8">
        <v>55</v>
      </c>
      <c r="D70" s="4"/>
      <c r="E70" s="4"/>
      <c r="F70" s="4"/>
      <c r="G70" s="4"/>
      <c r="H70" s="4"/>
      <c r="I70" s="4"/>
    </row>
    <row r="71" spans="1:9" ht="15.75" x14ac:dyDescent="0.25">
      <c r="A71" s="7">
        <v>45606</v>
      </c>
      <c r="B71" s="8">
        <v>48</v>
      </c>
      <c r="C71" s="8">
        <v>57</v>
      </c>
      <c r="D71" s="4"/>
      <c r="E71" s="4"/>
      <c r="F71" s="4"/>
      <c r="G71" s="4"/>
      <c r="H71" s="4"/>
      <c r="I71" s="4"/>
    </row>
    <row r="72" spans="1:9" ht="15.75" x14ac:dyDescent="0.25">
      <c r="A72" s="7">
        <v>45607</v>
      </c>
      <c r="B72" s="8">
        <v>41</v>
      </c>
      <c r="C72" s="8">
        <v>47</v>
      </c>
      <c r="D72" s="4"/>
      <c r="E72" s="4"/>
      <c r="F72" s="4"/>
      <c r="G72" s="4"/>
      <c r="H72" s="4"/>
      <c r="I72" s="4"/>
    </row>
    <row r="73" spans="1:9" ht="15.75" x14ac:dyDescent="0.25">
      <c r="A73" s="7">
        <v>45608</v>
      </c>
      <c r="B73" s="8">
        <v>35</v>
      </c>
      <c r="C73" s="8">
        <v>41</v>
      </c>
      <c r="D73" s="4"/>
      <c r="E73" s="4"/>
      <c r="F73" s="4"/>
      <c r="G73" s="4"/>
      <c r="H73" s="4"/>
      <c r="I73" s="4"/>
    </row>
    <row r="74" spans="1:9" ht="15.75" x14ac:dyDescent="0.25">
      <c r="A74" s="7">
        <v>45609</v>
      </c>
      <c r="B74" s="8">
        <v>37</v>
      </c>
      <c r="C74" s="8">
        <v>48</v>
      </c>
      <c r="D74" s="4"/>
      <c r="E74" s="4"/>
      <c r="F74" s="4"/>
      <c r="G74" s="4"/>
      <c r="H74" s="4"/>
      <c r="I74" s="4"/>
    </row>
    <row r="75" spans="1:9" ht="15.75" x14ac:dyDescent="0.25">
      <c r="A75" s="7">
        <v>45610</v>
      </c>
      <c r="B75" s="8">
        <v>35</v>
      </c>
      <c r="C75" s="8">
        <v>46</v>
      </c>
      <c r="D75" s="4"/>
      <c r="E75" s="4"/>
      <c r="F75" s="4"/>
      <c r="G75" s="4"/>
      <c r="H75" s="4"/>
      <c r="I75" s="4"/>
    </row>
    <row r="76" spans="1:9" ht="15.75" x14ac:dyDescent="0.25">
      <c r="A76" s="7">
        <v>45611</v>
      </c>
      <c r="B76" s="8">
        <v>35</v>
      </c>
      <c r="C76" s="8">
        <v>47</v>
      </c>
      <c r="D76" s="4"/>
      <c r="E76" s="4"/>
      <c r="F76" s="4"/>
      <c r="G76" s="4"/>
      <c r="H76" s="4"/>
      <c r="I76" s="4"/>
    </row>
    <row r="77" spans="1:9" ht="15.75" x14ac:dyDescent="0.25">
      <c r="A77" s="7">
        <v>45612</v>
      </c>
      <c r="B77" s="8">
        <v>43</v>
      </c>
      <c r="C77" s="8">
        <v>54</v>
      </c>
      <c r="D77" s="4"/>
      <c r="E77" s="4"/>
      <c r="F77" s="4"/>
      <c r="G77" s="4"/>
      <c r="H77" s="4"/>
      <c r="I77" s="4"/>
    </row>
    <row r="78" spans="1:9" ht="15.75" x14ac:dyDescent="0.25">
      <c r="A78" s="7">
        <v>45613</v>
      </c>
      <c r="B78" s="8">
        <v>47</v>
      </c>
      <c r="C78" s="8">
        <v>61</v>
      </c>
      <c r="D78" s="4"/>
      <c r="E78" s="4"/>
      <c r="F78" s="4"/>
      <c r="G78" s="4"/>
      <c r="H78" s="4"/>
      <c r="I78" s="4"/>
    </row>
    <row r="79" spans="1:9" ht="15.75" x14ac:dyDescent="0.25">
      <c r="A79" s="7">
        <v>45614</v>
      </c>
      <c r="B79" s="8">
        <v>36</v>
      </c>
      <c r="C79" s="8">
        <v>46</v>
      </c>
      <c r="D79" s="4"/>
      <c r="E79" s="4"/>
      <c r="F79" s="4"/>
      <c r="G79" s="4"/>
      <c r="H79" s="4"/>
      <c r="I79" s="4"/>
    </row>
    <row r="80" spans="1:9" ht="15.75" x14ac:dyDescent="0.25">
      <c r="A80" s="7">
        <v>45615</v>
      </c>
      <c r="B80" s="8">
        <v>32</v>
      </c>
      <c r="C80" s="8">
        <v>43</v>
      </c>
      <c r="D80" s="4"/>
      <c r="E80" s="4"/>
      <c r="F80" s="4"/>
      <c r="G80" s="4"/>
      <c r="H80" s="4"/>
      <c r="I80" s="4"/>
    </row>
    <row r="81" spans="1:9" ht="15.75" x14ac:dyDescent="0.25">
      <c r="A81" s="7">
        <v>45616</v>
      </c>
      <c r="B81" s="8">
        <v>36</v>
      </c>
      <c r="C81" s="8">
        <v>47</v>
      </c>
      <c r="D81" s="4"/>
      <c r="E81" s="4"/>
      <c r="F81" s="4"/>
      <c r="G81" s="4"/>
      <c r="H81" s="4"/>
      <c r="I81" s="4"/>
    </row>
    <row r="82" spans="1:9" ht="15.75" x14ac:dyDescent="0.25">
      <c r="A82" s="7">
        <v>45617</v>
      </c>
      <c r="B82" s="8">
        <v>45</v>
      </c>
      <c r="C82" s="8">
        <v>48</v>
      </c>
      <c r="D82" s="4"/>
      <c r="E82" s="4"/>
      <c r="F82" s="4"/>
      <c r="G82" s="4"/>
      <c r="H82" s="4"/>
      <c r="I82" s="4"/>
    </row>
    <row r="83" spans="1:9" ht="15.75" x14ac:dyDescent="0.25">
      <c r="A83" s="7">
        <v>45618</v>
      </c>
      <c r="B83" s="8">
        <v>54</v>
      </c>
      <c r="C83" s="8">
        <v>53</v>
      </c>
      <c r="D83" s="4"/>
      <c r="E83" s="4"/>
      <c r="F83" s="4"/>
      <c r="G83" s="4"/>
      <c r="H83" s="4"/>
      <c r="I83" s="4"/>
    </row>
    <row r="84" spans="1:9" ht="15.75" x14ac:dyDescent="0.25">
      <c r="A84" s="7">
        <v>45619</v>
      </c>
      <c r="B84" s="8">
        <v>63</v>
      </c>
      <c r="C84" s="8">
        <v>70</v>
      </c>
      <c r="D84" s="4"/>
      <c r="E84" s="4"/>
      <c r="F84" s="4"/>
      <c r="G84" s="4"/>
      <c r="H84" s="4"/>
      <c r="I84" s="4"/>
    </row>
    <row r="85" spans="1:9" ht="15.75" x14ac:dyDescent="0.25">
      <c r="A85" s="7">
        <v>45620</v>
      </c>
      <c r="B85" s="8">
        <v>64</v>
      </c>
      <c r="C85" s="8">
        <v>68</v>
      </c>
      <c r="D85" s="4"/>
      <c r="E85" s="4"/>
      <c r="F85" s="4"/>
      <c r="G85" s="4"/>
      <c r="H85" s="4"/>
      <c r="I85" s="4"/>
    </row>
    <row r="86" spans="1:9" ht="15.75" x14ac:dyDescent="0.25">
      <c r="A86" s="7">
        <v>45621</v>
      </c>
      <c r="B86" s="8">
        <v>52</v>
      </c>
      <c r="C86" s="8">
        <v>56</v>
      </c>
      <c r="D86" s="4"/>
      <c r="E86" s="4"/>
      <c r="F86" s="4"/>
      <c r="G86" s="4"/>
      <c r="H86" s="4"/>
      <c r="I86" s="4"/>
    </row>
    <row r="87" spans="1:9" ht="15.75" x14ac:dyDescent="0.25">
      <c r="A87" s="7">
        <v>45622</v>
      </c>
      <c r="B87" s="8">
        <v>53</v>
      </c>
      <c r="C87" s="8">
        <v>57</v>
      </c>
      <c r="D87" s="4"/>
      <c r="E87" s="4"/>
      <c r="F87" s="4"/>
      <c r="G87" s="4"/>
      <c r="H87" s="4"/>
      <c r="I87" s="4"/>
    </row>
    <row r="88" spans="1:9" ht="15.75" x14ac:dyDescent="0.25">
      <c r="A88" s="7">
        <v>45623</v>
      </c>
      <c r="B88" s="8">
        <v>57</v>
      </c>
      <c r="C88" s="8">
        <v>64</v>
      </c>
      <c r="D88" s="4"/>
      <c r="E88" s="4"/>
      <c r="F88" s="4"/>
      <c r="G88" s="4"/>
      <c r="H88" s="4"/>
      <c r="I88" s="4"/>
    </row>
    <row r="89" spans="1:9" ht="15.75" x14ac:dyDescent="0.25">
      <c r="A89" s="7">
        <v>45624</v>
      </c>
      <c r="B89" s="8">
        <v>66</v>
      </c>
      <c r="C89" s="8">
        <v>77</v>
      </c>
      <c r="D89" s="4"/>
      <c r="E89" s="4"/>
      <c r="F89" s="4"/>
      <c r="G89" s="4"/>
      <c r="H89" s="4"/>
      <c r="I89" s="4"/>
    </row>
    <row r="90" spans="1:9" ht="15.75" x14ac:dyDescent="0.25">
      <c r="A90" s="7">
        <v>45625</v>
      </c>
      <c r="B90" s="8">
        <v>98</v>
      </c>
      <c r="C90" s="8">
        <v>100</v>
      </c>
      <c r="D90" s="4"/>
      <c r="E90" s="4"/>
      <c r="F90" s="4"/>
      <c r="G90" s="4"/>
      <c r="H90" s="4"/>
      <c r="I90" s="4"/>
    </row>
    <row r="91" spans="1:9" ht="15.75" x14ac:dyDescent="0.25">
      <c r="A91" s="7">
        <v>45626</v>
      </c>
      <c r="B91" s="8">
        <v>79</v>
      </c>
      <c r="C91" s="8">
        <v>86</v>
      </c>
      <c r="D91" s="4"/>
      <c r="E91" s="4"/>
      <c r="F91" s="4"/>
      <c r="G91" s="4"/>
      <c r="H91" s="4"/>
      <c r="I91" s="4"/>
    </row>
    <row r="92" spans="1:9" ht="15.75" x14ac:dyDescent="0.25">
      <c r="A92" s="7">
        <v>45627</v>
      </c>
      <c r="B92" s="8">
        <v>73</v>
      </c>
      <c r="C92" s="8">
        <v>83</v>
      </c>
      <c r="D92" s="4"/>
      <c r="E92" s="4"/>
      <c r="F92" s="4"/>
      <c r="G92" s="4"/>
      <c r="H92" s="4"/>
      <c r="I92" s="4"/>
    </row>
    <row r="93" spans="1:9" ht="15.75" x14ac:dyDescent="0.25">
      <c r="A93" s="7">
        <v>45628</v>
      </c>
      <c r="B93" s="8">
        <v>61</v>
      </c>
      <c r="C93" s="8">
        <v>63</v>
      </c>
      <c r="D93" s="4"/>
      <c r="E93" s="4"/>
      <c r="F93" s="4"/>
      <c r="G93" s="4"/>
      <c r="H93" s="4"/>
      <c r="I93" s="4"/>
    </row>
    <row r="94" spans="1:9" ht="15.75" x14ac:dyDescent="0.25">
      <c r="A94" s="7">
        <v>45629</v>
      </c>
      <c r="B94" s="8">
        <v>51</v>
      </c>
      <c r="C94" s="8">
        <v>52</v>
      </c>
      <c r="D94" s="4"/>
      <c r="E94" s="4"/>
      <c r="F94" s="4"/>
      <c r="G94" s="4"/>
      <c r="H94" s="4"/>
      <c r="I94" s="4"/>
    </row>
    <row r="95" spans="1:9" ht="15.75" x14ac:dyDescent="0.25">
      <c r="A95" s="7">
        <v>45630</v>
      </c>
      <c r="B95" s="8">
        <v>44</v>
      </c>
      <c r="C95" s="8">
        <v>49</v>
      </c>
      <c r="D95" s="4"/>
      <c r="E95" s="4"/>
      <c r="F95" s="4"/>
      <c r="G95" s="4"/>
      <c r="H95" s="4"/>
      <c r="I95" s="4"/>
    </row>
    <row r="96" spans="1:9" x14ac:dyDescent="0.25">
      <c r="A96" s="1"/>
    </row>
  </sheetData>
  <pageMargins left="0.7" right="0.7" top="0.75" bottom="0.75" header="0.3" footer="0.3"/>
  <pageSetup orientation="landscape" r:id="rId1"/>
  <headerFooter>
    <oddHeader>&amp;C&amp;"-,Bold"&amp;12Jesse Xiong</oddHeader>
    <oddFooter>&amp;L&amp;"-,Bold"&amp;12Final Comprehensive Analysis: Ps5 vs Xbox&amp;C&amp;"-,Bold"&amp;12Jesse Xiong</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3A2E-27A3-444E-999C-88280C690285}">
  <dimension ref="A1:U96"/>
  <sheetViews>
    <sheetView view="pageBreakPreview" zoomScale="60" zoomScaleNormal="100" workbookViewId="0">
      <selection activeCell="A25" sqref="A25"/>
    </sheetView>
  </sheetViews>
  <sheetFormatPr defaultRowHeight="15" x14ac:dyDescent="0.25"/>
  <cols>
    <col min="1" max="1" width="12.140625" customWidth="1"/>
    <col min="2" max="2" width="18.28515625" bestFit="1" customWidth="1"/>
    <col min="3" max="3" width="19.5703125" customWidth="1"/>
    <col min="5" max="5" width="22.140625" bestFit="1" customWidth="1"/>
    <col min="6" max="6" width="15.7109375" bestFit="1" customWidth="1"/>
    <col min="7" max="7" width="14.5703125" customWidth="1"/>
  </cols>
  <sheetData>
    <row r="1" spans="1:21" ht="15.75" x14ac:dyDescent="0.25">
      <c r="A1" s="4" t="s">
        <v>0</v>
      </c>
      <c r="B1" s="4"/>
      <c r="C1" s="4"/>
      <c r="D1" s="4"/>
      <c r="E1" s="4"/>
      <c r="F1" s="4"/>
      <c r="G1" s="4"/>
    </row>
    <row r="2" spans="1:21" ht="15.75" x14ac:dyDescent="0.25">
      <c r="A2" s="4"/>
      <c r="B2" s="4"/>
      <c r="C2" s="4"/>
      <c r="D2" s="4"/>
      <c r="E2" s="4"/>
      <c r="F2" s="4"/>
      <c r="G2" s="4"/>
    </row>
    <row r="3" spans="1:21" ht="15.75" x14ac:dyDescent="0.25">
      <c r="A3" s="6" t="s">
        <v>14</v>
      </c>
      <c r="B3" s="6" t="s">
        <v>1</v>
      </c>
      <c r="C3" s="6" t="s">
        <v>2</v>
      </c>
      <c r="D3" s="4"/>
      <c r="E3" s="15"/>
      <c r="F3" s="15"/>
      <c r="G3" s="4"/>
    </row>
    <row r="4" spans="1:21" ht="15.75" x14ac:dyDescent="0.25">
      <c r="A4" s="7">
        <v>45539</v>
      </c>
      <c r="B4" s="8">
        <v>27</v>
      </c>
      <c r="C4" s="8">
        <v>39</v>
      </c>
      <c r="D4" s="4"/>
      <c r="E4" s="16"/>
      <c r="F4" s="16"/>
      <c r="G4" s="4"/>
    </row>
    <row r="5" spans="1:21" ht="15.75" x14ac:dyDescent="0.25">
      <c r="A5" s="7">
        <v>45540</v>
      </c>
      <c r="B5" s="8">
        <v>28</v>
      </c>
      <c r="C5" s="8">
        <v>38</v>
      </c>
      <c r="D5" s="4"/>
      <c r="E5" s="16"/>
      <c r="F5" s="16"/>
      <c r="G5" s="4"/>
    </row>
    <row r="6" spans="1:21" ht="15.75" x14ac:dyDescent="0.25">
      <c r="A6" s="7">
        <v>45541</v>
      </c>
      <c r="B6" s="8">
        <v>28</v>
      </c>
      <c r="C6" s="8">
        <v>37</v>
      </c>
      <c r="D6" s="4"/>
      <c r="E6" s="4"/>
      <c r="F6" s="4"/>
      <c r="G6" s="4"/>
    </row>
    <row r="7" spans="1:21" ht="15.75" x14ac:dyDescent="0.25">
      <c r="A7" s="7">
        <v>45542</v>
      </c>
      <c r="B7" s="8">
        <v>37</v>
      </c>
      <c r="C7" s="8">
        <v>50</v>
      </c>
      <c r="D7" s="4"/>
      <c r="E7" s="17" t="s">
        <v>17</v>
      </c>
      <c r="F7" s="17" t="s">
        <v>15</v>
      </c>
      <c r="G7" s="4"/>
    </row>
    <row r="8" spans="1:21" ht="15.75" x14ac:dyDescent="0.25">
      <c r="A8" s="7">
        <v>45543</v>
      </c>
      <c r="B8" s="8">
        <v>36</v>
      </c>
      <c r="C8" s="8">
        <v>51</v>
      </c>
      <c r="D8" s="4"/>
      <c r="E8" s="18" t="s">
        <v>19</v>
      </c>
      <c r="F8" s="18">
        <f>COUNTIF(B4:B95, "&gt;50")</f>
        <v>14</v>
      </c>
      <c r="G8" s="4"/>
      <c r="U8" t="s">
        <v>29</v>
      </c>
    </row>
    <row r="9" spans="1:21" ht="15.75" x14ac:dyDescent="0.25">
      <c r="A9" s="7">
        <v>45544</v>
      </c>
      <c r="B9" s="8">
        <v>29</v>
      </c>
      <c r="C9" s="8">
        <v>35</v>
      </c>
      <c r="D9" s="4"/>
      <c r="E9" s="18" t="s">
        <v>53</v>
      </c>
      <c r="F9" s="18">
        <f>COUNTIF(C4:C95, "&gt;50")</f>
        <v>22</v>
      </c>
      <c r="G9" s="4"/>
    </row>
    <row r="10" spans="1:21" ht="15.75" x14ac:dyDescent="0.25">
      <c r="A10" s="7">
        <v>45545</v>
      </c>
      <c r="B10" s="8">
        <v>57</v>
      </c>
      <c r="C10" s="8">
        <v>36</v>
      </c>
      <c r="D10" s="4"/>
      <c r="E10" s="4"/>
      <c r="F10" s="4"/>
      <c r="G10" s="4"/>
    </row>
    <row r="11" spans="1:21" ht="15.75" x14ac:dyDescent="0.25">
      <c r="A11" s="7">
        <v>45546</v>
      </c>
      <c r="B11" s="8">
        <v>46</v>
      </c>
      <c r="C11" s="8">
        <v>35</v>
      </c>
      <c r="D11" s="4"/>
      <c r="E11" s="19" t="s">
        <v>18</v>
      </c>
      <c r="F11" s="19" t="s">
        <v>15</v>
      </c>
      <c r="G11" s="4"/>
    </row>
    <row r="12" spans="1:21" ht="15.75" x14ac:dyDescent="0.25">
      <c r="A12" s="7">
        <v>45547</v>
      </c>
      <c r="B12" s="8">
        <v>38</v>
      </c>
      <c r="C12" s="8">
        <v>36</v>
      </c>
      <c r="D12" s="4"/>
      <c r="E12" s="20" t="s">
        <v>20</v>
      </c>
      <c r="F12" s="20">
        <f>AVERAGEIF(B4:B95, "&gt;60")</f>
        <v>72</v>
      </c>
      <c r="G12" s="4"/>
    </row>
    <row r="13" spans="1:21" ht="15.75" x14ac:dyDescent="0.25">
      <c r="A13" s="7">
        <v>45548</v>
      </c>
      <c r="B13" s="8">
        <v>33</v>
      </c>
      <c r="C13" s="8">
        <v>37</v>
      </c>
      <c r="D13" s="4"/>
      <c r="E13" s="20" t="s">
        <v>21</v>
      </c>
      <c r="F13" s="21">
        <f>AVERAGEIF(C4:C95, "&gt;60")</f>
        <v>74.666666666666671</v>
      </c>
      <c r="G13" s="4"/>
    </row>
    <row r="14" spans="1:21" ht="15.75" x14ac:dyDescent="0.25">
      <c r="A14" s="7">
        <v>45549</v>
      </c>
      <c r="B14" s="8">
        <v>41</v>
      </c>
      <c r="C14" s="8">
        <v>49</v>
      </c>
      <c r="D14" s="4"/>
      <c r="E14" s="4"/>
      <c r="F14" s="4"/>
      <c r="G14" s="4"/>
    </row>
    <row r="15" spans="1:21" ht="15.75" x14ac:dyDescent="0.25">
      <c r="A15" s="7">
        <v>45550</v>
      </c>
      <c r="B15" s="8">
        <v>38</v>
      </c>
      <c r="C15" s="8">
        <v>47</v>
      </c>
      <c r="D15" s="4"/>
      <c r="E15" s="22" t="s">
        <v>16</v>
      </c>
      <c r="F15" s="22" t="s">
        <v>15</v>
      </c>
      <c r="G15" s="4"/>
    </row>
    <row r="16" spans="1:21" ht="15.75" x14ac:dyDescent="0.25">
      <c r="A16" s="7">
        <v>45551</v>
      </c>
      <c r="B16" s="8">
        <v>28</v>
      </c>
      <c r="C16" s="8">
        <v>34</v>
      </c>
      <c r="D16" s="4"/>
      <c r="E16" s="23" t="s">
        <v>23</v>
      </c>
      <c r="F16" s="23">
        <f>SUMIF(B4:B95, "&gt;=25")</f>
        <v>3507</v>
      </c>
      <c r="G16" s="4"/>
    </row>
    <row r="17" spans="1:7" ht="15.75" x14ac:dyDescent="0.25">
      <c r="A17" s="7">
        <v>45552</v>
      </c>
      <c r="B17" s="8">
        <v>27</v>
      </c>
      <c r="C17" s="8">
        <v>35</v>
      </c>
      <c r="D17" s="4"/>
      <c r="E17" s="23" t="s">
        <v>24</v>
      </c>
      <c r="F17" s="23">
        <f>SUMIF(C4:C95, "&gt;=25")</f>
        <v>4158</v>
      </c>
      <c r="G17" s="4"/>
    </row>
    <row r="18" spans="1:7" ht="15.75" x14ac:dyDescent="0.25">
      <c r="A18" s="7">
        <v>45553</v>
      </c>
      <c r="B18" s="8">
        <v>26</v>
      </c>
      <c r="C18" s="8">
        <v>35</v>
      </c>
      <c r="D18" s="4"/>
      <c r="E18" s="4"/>
      <c r="F18" s="4"/>
      <c r="G18" s="4"/>
    </row>
    <row r="19" spans="1:7" ht="15.75" x14ac:dyDescent="0.25">
      <c r="A19" s="7">
        <v>45554</v>
      </c>
      <c r="B19" s="8">
        <v>31</v>
      </c>
      <c r="C19" s="8">
        <v>35</v>
      </c>
      <c r="D19" s="4"/>
      <c r="E19" s="24" t="s">
        <v>25</v>
      </c>
      <c r="F19" s="24" t="s">
        <v>15</v>
      </c>
      <c r="G19" s="4"/>
    </row>
    <row r="20" spans="1:7" ht="15.75" x14ac:dyDescent="0.25">
      <c r="A20" s="7">
        <v>45555</v>
      </c>
      <c r="B20" s="8">
        <v>36</v>
      </c>
      <c r="C20" s="8">
        <v>37</v>
      </c>
      <c r="D20" s="4"/>
      <c r="E20" s="25" t="s">
        <v>26</v>
      </c>
      <c r="F20" s="25">
        <f>COUNTIFS(B4:B95, "&gt;50", A4:A95, "&gt;=10/1/2024")</f>
        <v>12</v>
      </c>
      <c r="G20" s="4"/>
    </row>
    <row r="21" spans="1:7" ht="15.75" x14ac:dyDescent="0.25">
      <c r="A21" s="7">
        <v>45556</v>
      </c>
      <c r="B21" s="8">
        <v>42</v>
      </c>
      <c r="C21" s="8">
        <v>51</v>
      </c>
      <c r="D21" s="4"/>
      <c r="E21" s="25" t="s">
        <v>27</v>
      </c>
      <c r="F21" s="25">
        <f>COUNTIFS(C4:C95, "&gt;50", A4:A95, "&gt;=10/1/2024")</f>
        <v>20</v>
      </c>
      <c r="G21" s="4"/>
    </row>
    <row r="22" spans="1:7" ht="15.75" x14ac:dyDescent="0.25">
      <c r="A22" s="7">
        <v>45557</v>
      </c>
      <c r="B22" s="8">
        <v>39</v>
      </c>
      <c r="C22" s="8">
        <v>47</v>
      </c>
      <c r="D22" s="4"/>
      <c r="E22" s="4"/>
      <c r="F22" s="4"/>
      <c r="G22" s="4"/>
    </row>
    <row r="23" spans="1:7" ht="15.75" x14ac:dyDescent="0.25">
      <c r="A23" s="7">
        <v>45558</v>
      </c>
      <c r="B23" s="8">
        <v>29</v>
      </c>
      <c r="C23" s="8">
        <v>34</v>
      </c>
      <c r="D23" s="4"/>
      <c r="E23" s="26" t="s">
        <v>28</v>
      </c>
      <c r="F23" s="26" t="s">
        <v>15</v>
      </c>
      <c r="G23" s="4"/>
    </row>
    <row r="24" spans="1:7" ht="15.75" x14ac:dyDescent="0.25">
      <c r="A24" s="7">
        <v>45559</v>
      </c>
      <c r="B24" s="8">
        <v>29</v>
      </c>
      <c r="C24" s="8">
        <v>33</v>
      </c>
      <c r="D24" s="4"/>
      <c r="E24" s="27" t="s">
        <v>12</v>
      </c>
      <c r="F24" s="27">
        <f>_xlfn.MAXIFS(B4:B95, A4:A95, "&lt;=10/10/2024")</f>
        <v>57</v>
      </c>
      <c r="G24" s="4"/>
    </row>
    <row r="25" spans="1:7" ht="15.75" x14ac:dyDescent="0.25">
      <c r="A25" s="7">
        <v>45560</v>
      </c>
      <c r="B25" s="8">
        <v>34</v>
      </c>
      <c r="C25" s="8">
        <v>33</v>
      </c>
      <c r="D25" s="4"/>
      <c r="E25" s="27" t="s">
        <v>13</v>
      </c>
      <c r="F25" s="27">
        <f>_xlfn.MAXIFS(C4:C95, A4:A95, "&lt;=10/10/2024")</f>
        <v>51</v>
      </c>
      <c r="G25" s="4"/>
    </row>
    <row r="26" spans="1:7" ht="15.75" x14ac:dyDescent="0.25">
      <c r="A26" s="7">
        <v>45561</v>
      </c>
      <c r="B26" s="8">
        <v>51</v>
      </c>
      <c r="C26" s="8">
        <v>35</v>
      </c>
      <c r="D26" s="4"/>
      <c r="E26" s="4"/>
      <c r="F26" s="4"/>
      <c r="G26" s="4"/>
    </row>
    <row r="27" spans="1:7" ht="15.75" x14ac:dyDescent="0.25">
      <c r="A27" s="7">
        <v>45562</v>
      </c>
      <c r="B27" s="8">
        <v>35</v>
      </c>
      <c r="C27" s="8">
        <v>36</v>
      </c>
      <c r="D27" s="4"/>
      <c r="E27" s="28" t="s">
        <v>30</v>
      </c>
      <c r="F27" s="28" t="s">
        <v>15</v>
      </c>
      <c r="G27" s="4"/>
    </row>
    <row r="28" spans="1:7" ht="15.75" x14ac:dyDescent="0.25">
      <c r="A28" s="7">
        <v>45563</v>
      </c>
      <c r="B28" s="8">
        <v>39</v>
      </c>
      <c r="C28" s="8">
        <v>45</v>
      </c>
      <c r="D28" s="4"/>
      <c r="E28" s="29" t="s">
        <v>31</v>
      </c>
      <c r="F28" s="29" t="str">
        <f>IF(B4 &gt;50, "Above Threshold", "Below Threshold")</f>
        <v>Below Threshold</v>
      </c>
      <c r="G28" s="4"/>
    </row>
    <row r="29" spans="1:7" ht="15.75" x14ac:dyDescent="0.25">
      <c r="A29" s="7">
        <v>45564</v>
      </c>
      <c r="B29" s="8">
        <v>37</v>
      </c>
      <c r="C29" s="8">
        <v>45</v>
      </c>
      <c r="D29" s="4"/>
      <c r="E29" s="29" t="s">
        <v>32</v>
      </c>
      <c r="F29" s="29" t="str">
        <f>IF(C90 &gt; 90, "Above Threshold", "Below Threshold")</f>
        <v>Above Threshold</v>
      </c>
      <c r="G29" s="4"/>
    </row>
    <row r="30" spans="1:7" ht="15.75" x14ac:dyDescent="0.25">
      <c r="A30" s="7">
        <v>45565</v>
      </c>
      <c r="B30" s="8">
        <v>28</v>
      </c>
      <c r="C30" s="8">
        <v>33</v>
      </c>
      <c r="D30" s="4"/>
      <c r="E30" s="4"/>
      <c r="F30" s="4"/>
      <c r="G30" s="4"/>
    </row>
    <row r="31" spans="1:7" ht="15.75" x14ac:dyDescent="0.25">
      <c r="A31" s="7">
        <v>45566</v>
      </c>
      <c r="B31" s="8">
        <v>40</v>
      </c>
      <c r="C31" s="8">
        <v>35</v>
      </c>
      <c r="D31" s="4"/>
      <c r="E31" s="30" t="s">
        <v>47</v>
      </c>
      <c r="F31" s="30"/>
      <c r="G31" s="30"/>
    </row>
    <row r="32" spans="1:7" ht="15.75" x14ac:dyDescent="0.25">
      <c r="A32" s="7">
        <v>45567</v>
      </c>
      <c r="B32" s="8">
        <v>27</v>
      </c>
      <c r="C32" s="8">
        <v>37</v>
      </c>
      <c r="D32" s="4"/>
      <c r="E32" s="31" t="s">
        <v>48</v>
      </c>
      <c r="F32" s="31" t="s">
        <v>49</v>
      </c>
      <c r="G32" s="31" t="s">
        <v>50</v>
      </c>
    </row>
    <row r="33" spans="1:7" ht="15.75" x14ac:dyDescent="0.25">
      <c r="A33" s="7">
        <v>45568</v>
      </c>
      <c r="B33" s="8">
        <v>27</v>
      </c>
      <c r="C33" s="8">
        <v>33</v>
      </c>
      <c r="D33" s="4"/>
      <c r="E33" s="32">
        <v>40</v>
      </c>
      <c r="F33" s="33" cm="1">
        <f t="array" ref="F33:F39">FREQUENCY(B$4:B$95, E$33:E$38)</f>
        <v>65</v>
      </c>
      <c r="G33" s="33" cm="1">
        <f t="array" ref="G33:G39">FREQUENCY(C$4:C$95, E$33:E$38)</f>
        <v>43</v>
      </c>
    </row>
    <row r="34" spans="1:7" ht="15.75" x14ac:dyDescent="0.25">
      <c r="A34" s="7">
        <v>45569</v>
      </c>
      <c r="B34" s="8">
        <v>29</v>
      </c>
      <c r="C34" s="8">
        <v>36</v>
      </c>
      <c r="D34" s="4"/>
      <c r="E34" s="32">
        <v>50</v>
      </c>
      <c r="F34" s="33">
        <v>13</v>
      </c>
      <c r="G34" s="33">
        <v>27</v>
      </c>
    </row>
    <row r="35" spans="1:7" ht="15.75" x14ac:dyDescent="0.25">
      <c r="A35" s="7">
        <v>45570</v>
      </c>
      <c r="B35" s="8">
        <v>36</v>
      </c>
      <c r="C35" s="8">
        <v>46</v>
      </c>
      <c r="D35" s="4"/>
      <c r="E35" s="32">
        <v>60</v>
      </c>
      <c r="F35" s="33">
        <v>7</v>
      </c>
      <c r="G35" s="33">
        <v>13</v>
      </c>
    </row>
    <row r="36" spans="1:7" ht="15.75" x14ac:dyDescent="0.25">
      <c r="A36" s="7">
        <v>45571</v>
      </c>
      <c r="B36" s="8">
        <v>38</v>
      </c>
      <c r="C36" s="8">
        <v>46</v>
      </c>
      <c r="D36" s="4"/>
      <c r="E36" s="32">
        <v>70</v>
      </c>
      <c r="F36" s="33">
        <v>4</v>
      </c>
      <c r="G36" s="33">
        <v>5</v>
      </c>
    </row>
    <row r="37" spans="1:7" ht="15.75" x14ac:dyDescent="0.25">
      <c r="A37" s="7">
        <v>45572</v>
      </c>
      <c r="B37" s="8">
        <v>28</v>
      </c>
      <c r="C37" s="8">
        <v>35</v>
      </c>
      <c r="D37" s="4"/>
      <c r="E37" s="32">
        <v>80</v>
      </c>
      <c r="F37" s="33">
        <v>2</v>
      </c>
      <c r="G37" s="33">
        <v>1</v>
      </c>
    </row>
    <row r="38" spans="1:7" ht="15.75" x14ac:dyDescent="0.25">
      <c r="A38" s="7">
        <v>45573</v>
      </c>
      <c r="B38" s="8">
        <v>30</v>
      </c>
      <c r="C38" s="8">
        <v>37</v>
      </c>
      <c r="D38" s="4"/>
      <c r="E38" s="32">
        <v>90</v>
      </c>
      <c r="F38" s="33">
        <v>0</v>
      </c>
      <c r="G38" s="33">
        <v>2</v>
      </c>
    </row>
    <row r="39" spans="1:7" ht="15.75" x14ac:dyDescent="0.25">
      <c r="A39" s="7">
        <v>45574</v>
      </c>
      <c r="B39" s="8">
        <v>30</v>
      </c>
      <c r="C39" s="8">
        <v>38</v>
      </c>
      <c r="D39" s="4"/>
      <c r="E39" s="32">
        <v>100</v>
      </c>
      <c r="F39" s="33">
        <v>1</v>
      </c>
      <c r="G39" s="33">
        <v>1</v>
      </c>
    </row>
    <row r="40" spans="1:7" ht="15.75" x14ac:dyDescent="0.25">
      <c r="A40" s="7">
        <v>45575</v>
      </c>
      <c r="B40" s="8">
        <v>33</v>
      </c>
      <c r="C40" s="8">
        <v>35</v>
      </c>
      <c r="D40" s="4"/>
      <c r="E40" s="4"/>
      <c r="F40" s="4"/>
      <c r="G40" s="4"/>
    </row>
    <row r="41" spans="1:7" ht="15.75" x14ac:dyDescent="0.25">
      <c r="A41" s="7">
        <v>45576</v>
      </c>
      <c r="B41" s="8">
        <v>32</v>
      </c>
      <c r="C41" s="8">
        <v>39</v>
      </c>
      <c r="D41" s="4"/>
      <c r="E41" s="4"/>
      <c r="F41" s="4"/>
      <c r="G41" s="4"/>
    </row>
    <row r="42" spans="1:7" ht="15.75" x14ac:dyDescent="0.25">
      <c r="A42" s="7">
        <v>45577</v>
      </c>
      <c r="B42" s="8">
        <v>40</v>
      </c>
      <c r="C42" s="8">
        <v>50</v>
      </c>
      <c r="D42" s="4"/>
      <c r="E42" s="4"/>
      <c r="F42" s="4"/>
      <c r="G42" s="4"/>
    </row>
    <row r="43" spans="1:7" ht="15.75" x14ac:dyDescent="0.25">
      <c r="A43" s="7">
        <v>45578</v>
      </c>
      <c r="B43" s="8">
        <v>38</v>
      </c>
      <c r="C43" s="8">
        <v>47</v>
      </c>
      <c r="D43" s="4"/>
      <c r="E43" s="4"/>
      <c r="F43" s="4"/>
      <c r="G43" s="4"/>
    </row>
    <row r="44" spans="1:7" ht="15.75" x14ac:dyDescent="0.25">
      <c r="A44" s="7">
        <v>45579</v>
      </c>
      <c r="B44" s="8">
        <v>30</v>
      </c>
      <c r="C44" s="8">
        <v>39</v>
      </c>
      <c r="D44" s="4"/>
      <c r="E44" s="4"/>
      <c r="F44" s="4"/>
      <c r="G44" s="4"/>
    </row>
    <row r="45" spans="1:7" ht="15.75" x14ac:dyDescent="0.25">
      <c r="A45" s="7">
        <v>45580</v>
      </c>
      <c r="B45" s="8">
        <v>27</v>
      </c>
      <c r="C45" s="8">
        <v>38</v>
      </c>
      <c r="D45" s="4"/>
      <c r="E45" s="4"/>
      <c r="F45" s="4"/>
      <c r="G45" s="4"/>
    </row>
    <row r="46" spans="1:7" ht="15.75" x14ac:dyDescent="0.25">
      <c r="A46" s="7">
        <v>45581</v>
      </c>
      <c r="B46" s="8">
        <v>26</v>
      </c>
      <c r="C46" s="8">
        <v>35</v>
      </c>
      <c r="D46" s="4"/>
      <c r="E46" s="4"/>
      <c r="F46" s="4"/>
      <c r="G46" s="4"/>
    </row>
    <row r="47" spans="1:7" ht="15.75" x14ac:dyDescent="0.25">
      <c r="A47" s="7">
        <v>45582</v>
      </c>
      <c r="B47" s="8">
        <v>26</v>
      </c>
      <c r="C47" s="8">
        <v>36</v>
      </c>
      <c r="D47" s="4"/>
      <c r="E47" s="4"/>
      <c r="F47" s="4"/>
      <c r="G47" s="4"/>
    </row>
    <row r="48" spans="1:7" ht="15.75" x14ac:dyDescent="0.25">
      <c r="A48" s="7">
        <v>45583</v>
      </c>
      <c r="B48" s="8">
        <v>29</v>
      </c>
      <c r="C48" s="8">
        <v>36</v>
      </c>
      <c r="D48" s="4"/>
      <c r="E48" s="4"/>
      <c r="F48" s="4"/>
      <c r="G48" s="4"/>
    </row>
    <row r="49" spans="1:7" ht="15.75" x14ac:dyDescent="0.25">
      <c r="A49" s="7">
        <v>45584</v>
      </c>
      <c r="B49" s="8">
        <v>36</v>
      </c>
      <c r="C49" s="8">
        <v>47</v>
      </c>
      <c r="D49" s="4"/>
      <c r="E49" s="4"/>
      <c r="F49" s="4"/>
      <c r="G49" s="4"/>
    </row>
    <row r="50" spans="1:7" ht="15.75" x14ac:dyDescent="0.25">
      <c r="A50" s="7">
        <v>45585</v>
      </c>
      <c r="B50" s="8">
        <v>36</v>
      </c>
      <c r="C50" s="8">
        <v>46</v>
      </c>
      <c r="D50" s="4"/>
      <c r="E50" s="4"/>
      <c r="F50" s="4"/>
      <c r="G50" s="4"/>
    </row>
    <row r="51" spans="1:7" ht="15.75" x14ac:dyDescent="0.25">
      <c r="A51" s="7">
        <v>45586</v>
      </c>
      <c r="B51" s="8">
        <v>27</v>
      </c>
      <c r="C51" s="8">
        <v>34</v>
      </c>
      <c r="D51" s="4"/>
      <c r="E51" s="4"/>
      <c r="F51" s="4"/>
      <c r="G51" s="4"/>
    </row>
    <row r="52" spans="1:7" ht="15.75" x14ac:dyDescent="0.25">
      <c r="A52" s="7">
        <v>45587</v>
      </c>
      <c r="B52" s="8">
        <v>26</v>
      </c>
      <c r="C52" s="8">
        <v>35</v>
      </c>
      <c r="D52" s="4"/>
      <c r="E52" s="4"/>
      <c r="F52" s="4"/>
      <c r="G52" s="4"/>
    </row>
    <row r="53" spans="1:7" ht="15.75" x14ac:dyDescent="0.25">
      <c r="A53" s="7">
        <v>45588</v>
      </c>
      <c r="B53" s="8">
        <v>28</v>
      </c>
      <c r="C53" s="8">
        <v>34</v>
      </c>
      <c r="D53" s="4"/>
      <c r="E53" s="4"/>
      <c r="F53" s="4"/>
      <c r="G53" s="4"/>
    </row>
    <row r="54" spans="1:7" ht="15.75" x14ac:dyDescent="0.25">
      <c r="A54" s="7">
        <v>45589</v>
      </c>
      <c r="B54" s="8">
        <v>30</v>
      </c>
      <c r="C54" s="8">
        <v>41</v>
      </c>
      <c r="D54" s="4"/>
      <c r="E54" s="4"/>
      <c r="F54" s="4"/>
      <c r="G54" s="4"/>
    </row>
    <row r="55" spans="1:7" ht="15.75" x14ac:dyDescent="0.25">
      <c r="A55" s="7">
        <v>45590</v>
      </c>
      <c r="B55" s="8">
        <v>32</v>
      </c>
      <c r="C55" s="8">
        <v>46</v>
      </c>
      <c r="D55" s="4"/>
      <c r="E55" s="4"/>
      <c r="F55" s="4"/>
      <c r="G55" s="4"/>
    </row>
    <row r="56" spans="1:7" ht="15.75" x14ac:dyDescent="0.25">
      <c r="A56" s="7">
        <v>45591</v>
      </c>
      <c r="B56" s="8">
        <v>39</v>
      </c>
      <c r="C56" s="8">
        <v>54</v>
      </c>
      <c r="D56" s="4"/>
      <c r="E56" s="4"/>
      <c r="F56" s="4"/>
      <c r="G56" s="4"/>
    </row>
    <row r="57" spans="1:7" ht="15.75" x14ac:dyDescent="0.25">
      <c r="A57" s="7">
        <v>45592</v>
      </c>
      <c r="B57" s="8">
        <v>40</v>
      </c>
      <c r="C57" s="8">
        <v>54</v>
      </c>
      <c r="D57" s="4"/>
      <c r="E57" s="4"/>
      <c r="F57" s="4"/>
      <c r="G57" s="4"/>
    </row>
    <row r="58" spans="1:7" ht="15.75" x14ac:dyDescent="0.25">
      <c r="A58" s="7">
        <v>45593</v>
      </c>
      <c r="B58" s="8">
        <v>27</v>
      </c>
      <c r="C58" s="8">
        <v>40</v>
      </c>
      <c r="D58" s="4"/>
      <c r="E58" s="4"/>
      <c r="F58" s="4"/>
      <c r="G58" s="4"/>
    </row>
    <row r="59" spans="1:7" ht="15.75" x14ac:dyDescent="0.25">
      <c r="A59" s="7">
        <v>45594</v>
      </c>
      <c r="B59" s="8">
        <v>29</v>
      </c>
      <c r="C59" s="8">
        <v>36</v>
      </c>
      <c r="D59" s="4"/>
      <c r="E59" s="4"/>
      <c r="F59" s="4"/>
      <c r="G59" s="4"/>
    </row>
    <row r="60" spans="1:7" ht="15.75" x14ac:dyDescent="0.25">
      <c r="A60" s="7">
        <v>45595</v>
      </c>
      <c r="B60" s="8">
        <v>27</v>
      </c>
      <c r="C60" s="8">
        <v>36</v>
      </c>
      <c r="D60" s="4"/>
      <c r="E60" s="4"/>
      <c r="F60" s="4"/>
      <c r="G60" s="4"/>
    </row>
    <row r="61" spans="1:7" ht="15.75" x14ac:dyDescent="0.25">
      <c r="A61" s="7">
        <v>45596</v>
      </c>
      <c r="B61" s="8">
        <v>26</v>
      </c>
      <c r="C61" s="8">
        <v>35</v>
      </c>
      <c r="D61" s="4"/>
      <c r="E61" s="4"/>
      <c r="F61" s="4"/>
      <c r="G61" s="4"/>
    </row>
    <row r="62" spans="1:7" ht="15.75" x14ac:dyDescent="0.25">
      <c r="A62" s="7">
        <v>45597</v>
      </c>
      <c r="B62" s="8">
        <v>28</v>
      </c>
      <c r="C62" s="8">
        <v>41</v>
      </c>
      <c r="D62" s="4"/>
      <c r="E62" s="4"/>
      <c r="F62" s="4"/>
      <c r="G62" s="4"/>
    </row>
    <row r="63" spans="1:7" ht="15.75" x14ac:dyDescent="0.25">
      <c r="A63" s="7">
        <v>45598</v>
      </c>
      <c r="B63" s="8">
        <v>43</v>
      </c>
      <c r="C63" s="8">
        <v>58</v>
      </c>
      <c r="D63" s="4"/>
      <c r="E63" s="4"/>
      <c r="F63" s="4"/>
      <c r="G63" s="4"/>
    </row>
    <row r="64" spans="1:7" ht="15.75" x14ac:dyDescent="0.25">
      <c r="A64" s="7">
        <v>45599</v>
      </c>
      <c r="B64" s="8">
        <v>44</v>
      </c>
      <c r="C64" s="8">
        <v>60</v>
      </c>
      <c r="D64" s="4"/>
      <c r="E64" s="4"/>
      <c r="F64" s="4"/>
      <c r="G64" s="4"/>
    </row>
    <row r="65" spans="1:7" ht="15.75" x14ac:dyDescent="0.25">
      <c r="A65" s="7">
        <v>45600</v>
      </c>
      <c r="B65" s="8">
        <v>32</v>
      </c>
      <c r="C65" s="8">
        <v>42</v>
      </c>
      <c r="D65" s="4"/>
      <c r="E65" s="4"/>
      <c r="F65" s="4"/>
      <c r="G65" s="4"/>
    </row>
    <row r="66" spans="1:7" ht="15.75" x14ac:dyDescent="0.25">
      <c r="A66" s="7">
        <v>45601</v>
      </c>
      <c r="B66" s="8">
        <v>30</v>
      </c>
      <c r="C66" s="8">
        <v>38</v>
      </c>
      <c r="D66" s="4"/>
      <c r="E66" s="4"/>
      <c r="F66" s="4"/>
      <c r="G66" s="4"/>
    </row>
    <row r="67" spans="1:7" ht="15.75" x14ac:dyDescent="0.25">
      <c r="A67" s="7">
        <v>45602</v>
      </c>
      <c r="B67" s="8">
        <v>22</v>
      </c>
      <c r="C67" s="8">
        <v>27</v>
      </c>
      <c r="D67" s="4"/>
      <c r="E67" s="4"/>
      <c r="F67" s="4"/>
      <c r="G67" s="4"/>
    </row>
    <row r="68" spans="1:7" ht="15.75" x14ac:dyDescent="0.25">
      <c r="A68" s="7">
        <v>45603</v>
      </c>
      <c r="B68" s="8">
        <v>36</v>
      </c>
      <c r="C68" s="8">
        <v>38</v>
      </c>
      <c r="D68" s="4"/>
      <c r="E68" s="4"/>
      <c r="F68" s="4"/>
      <c r="G68" s="4"/>
    </row>
    <row r="69" spans="1:7" ht="15.75" x14ac:dyDescent="0.25">
      <c r="A69" s="7">
        <v>45604</v>
      </c>
      <c r="B69" s="8">
        <v>42</v>
      </c>
      <c r="C69" s="8">
        <v>42</v>
      </c>
      <c r="D69" s="4"/>
      <c r="E69" s="4"/>
      <c r="F69" s="4"/>
      <c r="G69" s="4"/>
    </row>
    <row r="70" spans="1:7" ht="15.75" x14ac:dyDescent="0.25">
      <c r="A70" s="7">
        <v>45605</v>
      </c>
      <c r="B70" s="8">
        <v>49</v>
      </c>
      <c r="C70" s="8">
        <v>55</v>
      </c>
      <c r="D70" s="4"/>
      <c r="E70" s="4"/>
      <c r="F70" s="4"/>
      <c r="G70" s="4"/>
    </row>
    <row r="71" spans="1:7" ht="15.75" x14ac:dyDescent="0.25">
      <c r="A71" s="7">
        <v>45606</v>
      </c>
      <c r="B71" s="8">
        <v>48</v>
      </c>
      <c r="C71" s="8">
        <v>57</v>
      </c>
      <c r="D71" s="4"/>
      <c r="E71" s="4"/>
      <c r="F71" s="4"/>
      <c r="G71" s="4"/>
    </row>
    <row r="72" spans="1:7" ht="15.75" x14ac:dyDescent="0.25">
      <c r="A72" s="7">
        <v>45607</v>
      </c>
      <c r="B72" s="8">
        <v>41</v>
      </c>
      <c r="C72" s="8">
        <v>47</v>
      </c>
      <c r="D72" s="4"/>
      <c r="E72" s="4"/>
      <c r="F72" s="4"/>
      <c r="G72" s="4"/>
    </row>
    <row r="73" spans="1:7" ht="15.75" x14ac:dyDescent="0.25">
      <c r="A73" s="7">
        <v>45608</v>
      </c>
      <c r="B73" s="8">
        <v>35</v>
      </c>
      <c r="C73" s="8">
        <v>41</v>
      </c>
      <c r="D73" s="4"/>
      <c r="E73" s="4"/>
      <c r="F73" s="4"/>
      <c r="G73" s="4"/>
    </row>
    <row r="74" spans="1:7" ht="15.75" x14ac:dyDescent="0.25">
      <c r="A74" s="7">
        <v>45609</v>
      </c>
      <c r="B74" s="8">
        <v>37</v>
      </c>
      <c r="C74" s="8">
        <v>48</v>
      </c>
      <c r="D74" s="4"/>
      <c r="E74" s="4"/>
      <c r="F74" s="4"/>
      <c r="G74" s="4"/>
    </row>
    <row r="75" spans="1:7" ht="15.75" x14ac:dyDescent="0.25">
      <c r="A75" s="7">
        <v>45610</v>
      </c>
      <c r="B75" s="8">
        <v>35</v>
      </c>
      <c r="C75" s="8">
        <v>46</v>
      </c>
      <c r="D75" s="4"/>
      <c r="E75" s="4"/>
      <c r="F75" s="4"/>
      <c r="G75" s="4"/>
    </row>
    <row r="76" spans="1:7" ht="15.75" x14ac:dyDescent="0.25">
      <c r="A76" s="7">
        <v>45611</v>
      </c>
      <c r="B76" s="8">
        <v>35</v>
      </c>
      <c r="C76" s="8">
        <v>47</v>
      </c>
      <c r="D76" s="4"/>
      <c r="E76" s="4"/>
      <c r="F76" s="4"/>
      <c r="G76" s="4"/>
    </row>
    <row r="77" spans="1:7" ht="15.75" x14ac:dyDescent="0.25">
      <c r="A77" s="7">
        <v>45612</v>
      </c>
      <c r="B77" s="8">
        <v>43</v>
      </c>
      <c r="C77" s="8">
        <v>54</v>
      </c>
      <c r="D77" s="4"/>
      <c r="E77" s="4"/>
      <c r="F77" s="4"/>
      <c r="G77" s="4"/>
    </row>
    <row r="78" spans="1:7" ht="15.75" x14ac:dyDescent="0.25">
      <c r="A78" s="7">
        <v>45613</v>
      </c>
      <c r="B78" s="8">
        <v>47</v>
      </c>
      <c r="C78" s="8">
        <v>61</v>
      </c>
      <c r="D78" s="4"/>
      <c r="E78" s="4"/>
      <c r="F78" s="4"/>
      <c r="G78" s="4"/>
    </row>
    <row r="79" spans="1:7" ht="15.75" x14ac:dyDescent="0.25">
      <c r="A79" s="7">
        <v>45614</v>
      </c>
      <c r="B79" s="8">
        <v>36</v>
      </c>
      <c r="C79" s="8">
        <v>46</v>
      </c>
      <c r="D79" s="4"/>
      <c r="E79" s="4"/>
      <c r="F79" s="4"/>
      <c r="G79" s="4"/>
    </row>
    <row r="80" spans="1:7" ht="15.75" x14ac:dyDescent="0.25">
      <c r="A80" s="7">
        <v>45615</v>
      </c>
      <c r="B80" s="8">
        <v>32</v>
      </c>
      <c r="C80" s="8">
        <v>43</v>
      </c>
      <c r="D80" s="4"/>
      <c r="E80" s="4"/>
      <c r="F80" s="4"/>
      <c r="G80" s="4"/>
    </row>
    <row r="81" spans="1:7" ht="15.75" x14ac:dyDescent="0.25">
      <c r="A81" s="7">
        <v>45616</v>
      </c>
      <c r="B81" s="8">
        <v>36</v>
      </c>
      <c r="C81" s="8">
        <v>47</v>
      </c>
      <c r="D81" s="4"/>
      <c r="E81" s="4"/>
      <c r="F81" s="4"/>
      <c r="G81" s="4"/>
    </row>
    <row r="82" spans="1:7" ht="15.75" x14ac:dyDescent="0.25">
      <c r="A82" s="7">
        <v>45617</v>
      </c>
      <c r="B82" s="8">
        <v>45</v>
      </c>
      <c r="C82" s="8">
        <v>48</v>
      </c>
      <c r="D82" s="4"/>
      <c r="E82" s="4"/>
      <c r="F82" s="4"/>
      <c r="G82" s="4"/>
    </row>
    <row r="83" spans="1:7" ht="15.75" x14ac:dyDescent="0.25">
      <c r="A83" s="7">
        <v>45618</v>
      </c>
      <c r="B83" s="8">
        <v>54</v>
      </c>
      <c r="C83" s="8">
        <v>53</v>
      </c>
      <c r="D83" s="4"/>
      <c r="E83" s="4"/>
      <c r="F83" s="4"/>
      <c r="G83" s="4"/>
    </row>
    <row r="84" spans="1:7" ht="15.75" x14ac:dyDescent="0.25">
      <c r="A84" s="7">
        <v>45619</v>
      </c>
      <c r="B84" s="8">
        <v>63</v>
      </c>
      <c r="C84" s="8">
        <v>70</v>
      </c>
      <c r="D84" s="4"/>
      <c r="E84" s="4"/>
      <c r="F84" s="4"/>
      <c r="G84" s="4"/>
    </row>
    <row r="85" spans="1:7" ht="15.75" x14ac:dyDescent="0.25">
      <c r="A85" s="7">
        <v>45620</v>
      </c>
      <c r="B85" s="8">
        <v>64</v>
      </c>
      <c r="C85" s="8">
        <v>68</v>
      </c>
      <c r="D85" s="4"/>
      <c r="E85" s="4"/>
      <c r="F85" s="4"/>
      <c r="G85" s="4"/>
    </row>
    <row r="86" spans="1:7" ht="15.75" x14ac:dyDescent="0.25">
      <c r="A86" s="7">
        <v>45621</v>
      </c>
      <c r="B86" s="8">
        <v>52</v>
      </c>
      <c r="C86" s="8">
        <v>56</v>
      </c>
      <c r="D86" s="4"/>
      <c r="E86" s="4"/>
      <c r="F86" s="4"/>
      <c r="G86" s="4"/>
    </row>
    <row r="87" spans="1:7" ht="15.75" x14ac:dyDescent="0.25">
      <c r="A87" s="7">
        <v>45622</v>
      </c>
      <c r="B87" s="8">
        <v>53</v>
      </c>
      <c r="C87" s="8">
        <v>57</v>
      </c>
      <c r="D87" s="4"/>
      <c r="E87" s="4"/>
      <c r="F87" s="4"/>
      <c r="G87" s="4"/>
    </row>
    <row r="88" spans="1:7" ht="15.75" x14ac:dyDescent="0.25">
      <c r="A88" s="7">
        <v>45623</v>
      </c>
      <c r="B88" s="8">
        <v>57</v>
      </c>
      <c r="C88" s="8">
        <v>64</v>
      </c>
      <c r="D88" s="4"/>
      <c r="E88" s="4"/>
      <c r="F88" s="4"/>
      <c r="G88" s="4"/>
    </row>
    <row r="89" spans="1:7" ht="15.75" x14ac:dyDescent="0.25">
      <c r="A89" s="7">
        <v>45624</v>
      </c>
      <c r="B89" s="8">
        <v>66</v>
      </c>
      <c r="C89" s="8">
        <v>77</v>
      </c>
      <c r="D89" s="4"/>
      <c r="E89" s="4"/>
      <c r="F89" s="4"/>
      <c r="G89" s="4"/>
    </row>
    <row r="90" spans="1:7" ht="15.75" x14ac:dyDescent="0.25">
      <c r="A90" s="7">
        <v>45625</v>
      </c>
      <c r="B90" s="8">
        <v>98</v>
      </c>
      <c r="C90" s="8">
        <v>100</v>
      </c>
      <c r="D90" s="4"/>
      <c r="E90" s="4"/>
      <c r="F90" s="4"/>
      <c r="G90" s="4"/>
    </row>
    <row r="91" spans="1:7" ht="15.75" x14ac:dyDescent="0.25">
      <c r="A91" s="7">
        <v>45626</v>
      </c>
      <c r="B91" s="8">
        <v>79</v>
      </c>
      <c r="C91" s="8">
        <v>86</v>
      </c>
      <c r="D91" s="4"/>
      <c r="E91" s="4"/>
      <c r="F91" s="4"/>
      <c r="G91" s="4"/>
    </row>
    <row r="92" spans="1:7" ht="15.75" x14ac:dyDescent="0.25">
      <c r="A92" s="7">
        <v>45627</v>
      </c>
      <c r="B92" s="8">
        <v>73</v>
      </c>
      <c r="C92" s="8">
        <v>83</v>
      </c>
      <c r="D92" s="4"/>
      <c r="E92" s="4"/>
      <c r="F92" s="4"/>
      <c r="G92" s="4"/>
    </row>
    <row r="93" spans="1:7" ht="15.75" x14ac:dyDescent="0.25">
      <c r="A93" s="7">
        <v>45628</v>
      </c>
      <c r="B93" s="8">
        <v>61</v>
      </c>
      <c r="C93" s="8">
        <v>63</v>
      </c>
      <c r="D93" s="4"/>
      <c r="E93" s="4"/>
      <c r="F93" s="4"/>
      <c r="G93" s="4"/>
    </row>
    <row r="94" spans="1:7" ht="15.75" x14ac:dyDescent="0.25">
      <c r="A94" s="7">
        <v>45629</v>
      </c>
      <c r="B94" s="8">
        <v>51</v>
      </c>
      <c r="C94" s="8">
        <v>52</v>
      </c>
      <c r="D94" s="4"/>
      <c r="E94" s="4"/>
      <c r="F94" s="4"/>
      <c r="G94" s="4"/>
    </row>
    <row r="95" spans="1:7" ht="15.75" x14ac:dyDescent="0.25">
      <c r="A95" s="7">
        <v>45630</v>
      </c>
      <c r="B95" s="8">
        <v>44</v>
      </c>
      <c r="C95" s="8">
        <v>49</v>
      </c>
      <c r="D95" s="4"/>
      <c r="E95" s="4"/>
      <c r="F95" s="4"/>
      <c r="G95" s="4"/>
    </row>
    <row r="96" spans="1:7" ht="15.75" x14ac:dyDescent="0.25">
      <c r="A96" s="6" t="s">
        <v>22</v>
      </c>
      <c r="B96" s="6">
        <f>SUM(B4:B95)</f>
        <v>3529</v>
      </c>
      <c r="C96" s="6">
        <f>SUM(C4:C95)</f>
        <v>4158</v>
      </c>
      <c r="D96" s="4"/>
      <c r="E96" s="4"/>
      <c r="F96" s="4"/>
      <c r="G96" s="4"/>
    </row>
  </sheetData>
  <mergeCells count="1">
    <mergeCell ref="E31:G31"/>
  </mergeCells>
  <pageMargins left="0.7" right="0.7" top="0.75" bottom="0.75" header="0.3" footer="0.3"/>
  <pageSetup scale="74" orientation="landscape" r:id="rId1"/>
  <headerFooter>
    <oddHeader>&amp;CJesse Xiong</oddHeader>
    <oddFooter>&amp;L&amp;"-,Bold"&amp;12Final Comprehensive Analysis: Ps5 vs Xbox&amp;C&amp;"-,Bold"&amp;12Jesse Xiong</oddFooter>
  </headerFooter>
  <colBreaks count="1" manualBreakCount="1">
    <brk id="8"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99D5-2434-4874-9699-0F5185FEFF89}">
  <dimension ref="A1:K97"/>
  <sheetViews>
    <sheetView view="pageBreakPreview" topLeftCell="A14" zoomScale="60" zoomScaleNormal="100" workbookViewId="0">
      <selection activeCell="D2" sqref="D2"/>
    </sheetView>
  </sheetViews>
  <sheetFormatPr defaultRowHeight="15" x14ac:dyDescent="0.25"/>
  <cols>
    <col min="1" max="1" width="12.140625" customWidth="1"/>
    <col min="2" max="2" width="19" bestFit="1" customWidth="1"/>
    <col min="3" max="3" width="20.140625" bestFit="1" customWidth="1"/>
    <col min="4" max="4" width="20.85546875" bestFit="1" customWidth="1"/>
    <col min="5" max="5" width="21.7109375" bestFit="1" customWidth="1"/>
    <col min="6" max="6" width="13.140625" bestFit="1" customWidth="1"/>
    <col min="7" max="7" width="20.85546875" bestFit="1" customWidth="1"/>
  </cols>
  <sheetData>
    <row r="1" spans="1:11" ht="15.75" x14ac:dyDescent="0.25">
      <c r="A1" s="4" t="s">
        <v>0</v>
      </c>
      <c r="B1" s="4"/>
      <c r="C1" s="4"/>
      <c r="D1" s="4"/>
      <c r="E1" s="4"/>
      <c r="F1" s="4"/>
      <c r="G1" s="4"/>
      <c r="H1" s="4"/>
      <c r="I1" s="4"/>
      <c r="J1" s="4"/>
      <c r="K1" s="4"/>
    </row>
    <row r="2" spans="1:11" ht="15.75" x14ac:dyDescent="0.25">
      <c r="A2" s="4"/>
      <c r="B2" s="4"/>
      <c r="C2" s="4"/>
      <c r="D2" s="4"/>
      <c r="E2" s="4"/>
      <c r="F2" s="4"/>
      <c r="G2" s="4"/>
      <c r="H2" s="4"/>
      <c r="I2" s="4"/>
      <c r="J2" s="4"/>
      <c r="K2" s="4"/>
    </row>
    <row r="3" spans="1:11" ht="15.75" x14ac:dyDescent="0.25">
      <c r="A3" s="6" t="s">
        <v>14</v>
      </c>
      <c r="B3" s="6" t="s">
        <v>1</v>
      </c>
      <c r="C3" s="6" t="s">
        <v>2</v>
      </c>
      <c r="D3" s="6" t="s">
        <v>33</v>
      </c>
      <c r="E3" s="6" t="s">
        <v>34</v>
      </c>
      <c r="F3" s="4"/>
      <c r="G3" s="4"/>
      <c r="H3" s="4"/>
      <c r="I3" s="4"/>
      <c r="J3" s="4"/>
      <c r="K3" s="4"/>
    </row>
    <row r="4" spans="1:11" ht="15.75" x14ac:dyDescent="0.25">
      <c r="A4" s="7">
        <v>45539</v>
      </c>
      <c r="B4" s="8">
        <v>27</v>
      </c>
      <c r="C4" s="8">
        <v>39</v>
      </c>
      <c r="D4" s="8" t="str">
        <f t="shared" ref="D4:D35" si="0">VLOOKUP(B4, lookup, 2)</f>
        <v>Little Interest</v>
      </c>
      <c r="E4" s="8" t="str">
        <f t="shared" ref="E4:E35" si="1">VLOOKUP(C4, lookup, 2)</f>
        <v>Little Interest</v>
      </c>
      <c r="F4" s="34" t="s">
        <v>35</v>
      </c>
      <c r="G4" s="34"/>
      <c r="H4" s="4"/>
      <c r="I4" s="4"/>
      <c r="J4" s="4"/>
      <c r="K4" s="4"/>
    </row>
    <row r="5" spans="1:11" ht="15.75" x14ac:dyDescent="0.25">
      <c r="A5" s="7">
        <v>45540</v>
      </c>
      <c r="B5" s="8">
        <v>28</v>
      </c>
      <c r="C5" s="8">
        <v>38</v>
      </c>
      <c r="D5" s="8" t="str">
        <f t="shared" si="0"/>
        <v>Little Interest</v>
      </c>
      <c r="E5" s="8" t="str">
        <f t="shared" si="1"/>
        <v>Little Interest</v>
      </c>
      <c r="F5" s="35" t="s">
        <v>36</v>
      </c>
      <c r="G5" s="20" t="s">
        <v>37</v>
      </c>
      <c r="H5" s="4"/>
      <c r="I5" s="4"/>
      <c r="J5" s="4"/>
      <c r="K5" s="4"/>
    </row>
    <row r="6" spans="1:11" ht="15.75" x14ac:dyDescent="0.25">
      <c r="A6" s="7">
        <v>45541</v>
      </c>
      <c r="B6" s="8">
        <v>28</v>
      </c>
      <c r="C6" s="8">
        <v>37</v>
      </c>
      <c r="D6" s="8" t="str">
        <f t="shared" si="0"/>
        <v>Little Interest</v>
      </c>
      <c r="E6" s="8" t="str">
        <f t="shared" si="1"/>
        <v>Little Interest</v>
      </c>
      <c r="F6" s="35">
        <v>0</v>
      </c>
      <c r="G6" s="20" t="s">
        <v>38</v>
      </c>
      <c r="H6" s="4"/>
      <c r="I6" s="4"/>
      <c r="J6" s="4"/>
      <c r="K6" s="4"/>
    </row>
    <row r="7" spans="1:11" ht="15.75" x14ac:dyDescent="0.25">
      <c r="A7" s="7">
        <v>45542</v>
      </c>
      <c r="B7" s="8">
        <v>37</v>
      </c>
      <c r="C7" s="8">
        <v>50</v>
      </c>
      <c r="D7" s="8" t="str">
        <f t="shared" si="0"/>
        <v>Little Interest</v>
      </c>
      <c r="E7" s="8" t="str">
        <f t="shared" si="1"/>
        <v>Average Interest</v>
      </c>
      <c r="F7" s="35">
        <v>20</v>
      </c>
      <c r="G7" s="20" t="s">
        <v>39</v>
      </c>
      <c r="H7" s="4"/>
      <c r="I7" s="4"/>
      <c r="J7" s="4"/>
      <c r="K7" s="4"/>
    </row>
    <row r="8" spans="1:11" ht="15.75" x14ac:dyDescent="0.25">
      <c r="A8" s="7">
        <v>45543</v>
      </c>
      <c r="B8" s="8">
        <v>36</v>
      </c>
      <c r="C8" s="8">
        <v>51</v>
      </c>
      <c r="D8" s="8" t="str">
        <f t="shared" si="0"/>
        <v>Little Interest</v>
      </c>
      <c r="E8" s="8" t="str">
        <f t="shared" si="1"/>
        <v>Average Interest</v>
      </c>
      <c r="F8" s="35">
        <v>40</v>
      </c>
      <c r="G8" s="20" t="s">
        <v>40</v>
      </c>
      <c r="H8" s="4"/>
      <c r="I8" s="4"/>
      <c r="J8" s="4"/>
      <c r="K8" s="4"/>
    </row>
    <row r="9" spans="1:11" ht="15.75" x14ac:dyDescent="0.25">
      <c r="A9" s="7">
        <v>45544</v>
      </c>
      <c r="B9" s="8">
        <v>29</v>
      </c>
      <c r="C9" s="8">
        <v>35</v>
      </c>
      <c r="D9" s="8" t="str">
        <f t="shared" si="0"/>
        <v>Little Interest</v>
      </c>
      <c r="E9" s="8" t="str">
        <f t="shared" si="1"/>
        <v>Little Interest</v>
      </c>
      <c r="F9" s="35">
        <v>60</v>
      </c>
      <c r="G9" s="20" t="s">
        <v>41</v>
      </c>
      <c r="H9" s="4"/>
      <c r="I9" s="4"/>
      <c r="J9" s="4"/>
      <c r="K9" s="4"/>
    </row>
    <row r="10" spans="1:11" ht="15.75" x14ac:dyDescent="0.25">
      <c r="A10" s="7">
        <v>45545</v>
      </c>
      <c r="B10" s="8">
        <v>57</v>
      </c>
      <c r="C10" s="8">
        <v>36</v>
      </c>
      <c r="D10" s="8" t="str">
        <f t="shared" si="0"/>
        <v>Average Interest</v>
      </c>
      <c r="E10" s="8" t="str">
        <f t="shared" si="1"/>
        <v>Little Interest</v>
      </c>
      <c r="F10" s="35">
        <v>80</v>
      </c>
      <c r="G10" s="20" t="s">
        <v>42</v>
      </c>
      <c r="H10" s="4"/>
      <c r="I10" s="4"/>
      <c r="J10" s="4"/>
      <c r="K10" s="4"/>
    </row>
    <row r="11" spans="1:11" ht="15.75" x14ac:dyDescent="0.25">
      <c r="A11" s="7">
        <v>45546</v>
      </c>
      <c r="B11" s="8">
        <v>46</v>
      </c>
      <c r="C11" s="8">
        <v>35</v>
      </c>
      <c r="D11" s="8" t="str">
        <f t="shared" si="0"/>
        <v>Average Interest</v>
      </c>
      <c r="E11" s="8" t="str">
        <f t="shared" si="1"/>
        <v>Little Interest</v>
      </c>
      <c r="F11" s="35">
        <v>100</v>
      </c>
      <c r="G11" s="20" t="s">
        <v>43</v>
      </c>
      <c r="H11" s="4"/>
      <c r="I11" s="4"/>
      <c r="J11" s="4"/>
      <c r="K11" s="4"/>
    </row>
    <row r="12" spans="1:11" ht="15.75" x14ac:dyDescent="0.25">
      <c r="A12" s="7">
        <v>45547</v>
      </c>
      <c r="B12" s="8">
        <v>38</v>
      </c>
      <c r="C12" s="8">
        <v>36</v>
      </c>
      <c r="D12" s="8" t="str">
        <f t="shared" si="0"/>
        <v>Little Interest</v>
      </c>
      <c r="E12" s="8" t="str">
        <f t="shared" si="1"/>
        <v>Little Interest</v>
      </c>
      <c r="F12" s="4"/>
      <c r="G12" s="4"/>
      <c r="H12" s="4"/>
      <c r="I12" s="4"/>
      <c r="J12" s="4"/>
      <c r="K12" s="4"/>
    </row>
    <row r="13" spans="1:11" ht="15.75" x14ac:dyDescent="0.25">
      <c r="A13" s="7">
        <v>45548</v>
      </c>
      <c r="B13" s="8">
        <v>33</v>
      </c>
      <c r="C13" s="8">
        <v>37</v>
      </c>
      <c r="D13" s="8" t="str">
        <f t="shared" si="0"/>
        <v>Little Interest</v>
      </c>
      <c r="E13" s="8" t="str">
        <f t="shared" si="1"/>
        <v>Little Interest</v>
      </c>
      <c r="F13" s="34" t="s">
        <v>44</v>
      </c>
      <c r="G13" s="34"/>
      <c r="H13" s="4"/>
      <c r="I13" s="4"/>
      <c r="J13" s="4"/>
      <c r="K13" s="4"/>
    </row>
    <row r="14" spans="1:11" ht="15.75" x14ac:dyDescent="0.25">
      <c r="A14" s="7">
        <v>45549</v>
      </c>
      <c r="B14" s="8">
        <v>41</v>
      </c>
      <c r="C14" s="8">
        <v>49</v>
      </c>
      <c r="D14" s="8" t="str">
        <f t="shared" si="0"/>
        <v>Average Interest</v>
      </c>
      <c r="E14" s="8" t="str">
        <f t="shared" si="1"/>
        <v>Average Interest</v>
      </c>
      <c r="F14" s="36" t="s">
        <v>45</v>
      </c>
      <c r="G14" s="37" t="s">
        <v>1</v>
      </c>
      <c r="H14" s="4"/>
      <c r="I14" s="4"/>
      <c r="J14" s="4"/>
      <c r="K14" s="4"/>
    </row>
    <row r="15" spans="1:11" ht="15.75" x14ac:dyDescent="0.25">
      <c r="A15" s="7">
        <v>45550</v>
      </c>
      <c r="B15" s="8">
        <v>38</v>
      </c>
      <c r="C15" s="8">
        <v>47</v>
      </c>
      <c r="D15" s="8" t="str">
        <f t="shared" si="0"/>
        <v>Little Interest</v>
      </c>
      <c r="E15" s="8" t="str">
        <f t="shared" si="1"/>
        <v>Average Interest</v>
      </c>
      <c r="F15" s="36" t="s">
        <v>14</v>
      </c>
      <c r="G15" s="38">
        <v>45625</v>
      </c>
      <c r="H15" s="4"/>
      <c r="I15" s="4"/>
      <c r="J15" s="4"/>
      <c r="K15" s="4"/>
    </row>
    <row r="16" spans="1:11" ht="15.75" x14ac:dyDescent="0.25">
      <c r="A16" s="7">
        <v>45551</v>
      </c>
      <c r="B16" s="8">
        <v>28</v>
      </c>
      <c r="C16" s="8">
        <v>34</v>
      </c>
      <c r="D16" s="8" t="str">
        <f t="shared" si="0"/>
        <v>Little Interest</v>
      </c>
      <c r="E16" s="8" t="str">
        <f t="shared" si="1"/>
        <v>Little Interest</v>
      </c>
      <c r="F16" s="36" t="s">
        <v>46</v>
      </c>
      <c r="G16" s="37">
        <f>INDEX(B4:C95,MATCH(G15,A4:A95,0),MATCH(G14,B3:C3,0))</f>
        <v>98</v>
      </c>
      <c r="H16" s="4"/>
      <c r="I16" s="4"/>
      <c r="J16" s="4"/>
      <c r="K16" s="4"/>
    </row>
    <row r="17" spans="1:11" ht="15.75" x14ac:dyDescent="0.25">
      <c r="A17" s="7">
        <v>45552</v>
      </c>
      <c r="B17" s="8">
        <v>27</v>
      </c>
      <c r="C17" s="8">
        <v>35</v>
      </c>
      <c r="D17" s="8" t="str">
        <f t="shared" si="0"/>
        <v>Little Interest</v>
      </c>
      <c r="E17" s="8" t="str">
        <f t="shared" si="1"/>
        <v>Little Interest</v>
      </c>
      <c r="F17" s="4"/>
      <c r="G17" s="4"/>
      <c r="H17" s="4"/>
      <c r="I17" s="4"/>
      <c r="J17" s="4"/>
      <c r="K17" s="4"/>
    </row>
    <row r="18" spans="1:11" ht="15.75" x14ac:dyDescent="0.25">
      <c r="A18" s="7">
        <v>45553</v>
      </c>
      <c r="B18" s="8">
        <v>26</v>
      </c>
      <c r="C18" s="8">
        <v>35</v>
      </c>
      <c r="D18" s="8" t="str">
        <f t="shared" si="0"/>
        <v>Little Interest</v>
      </c>
      <c r="E18" s="8" t="str">
        <f t="shared" si="1"/>
        <v>Little Interest</v>
      </c>
      <c r="F18" s="4"/>
      <c r="G18" s="4"/>
      <c r="H18" s="4"/>
      <c r="I18" s="4"/>
      <c r="J18" s="4"/>
      <c r="K18" s="4"/>
    </row>
    <row r="19" spans="1:11" ht="15.75" x14ac:dyDescent="0.25">
      <c r="A19" s="7">
        <v>45554</v>
      </c>
      <c r="B19" s="8">
        <v>31</v>
      </c>
      <c r="C19" s="8">
        <v>35</v>
      </c>
      <c r="D19" s="8" t="str">
        <f t="shared" si="0"/>
        <v>Little Interest</v>
      </c>
      <c r="E19" s="8" t="str">
        <f t="shared" si="1"/>
        <v>Little Interest</v>
      </c>
      <c r="F19" s="4"/>
      <c r="G19" s="4"/>
      <c r="H19" s="4"/>
      <c r="I19" s="4"/>
      <c r="J19" s="4"/>
      <c r="K19" s="4"/>
    </row>
    <row r="20" spans="1:11" ht="15.75" x14ac:dyDescent="0.25">
      <c r="A20" s="7">
        <v>45555</v>
      </c>
      <c r="B20" s="8">
        <v>36</v>
      </c>
      <c r="C20" s="8">
        <v>37</v>
      </c>
      <c r="D20" s="8" t="str">
        <f t="shared" si="0"/>
        <v>Little Interest</v>
      </c>
      <c r="E20" s="8" t="str">
        <f t="shared" si="1"/>
        <v>Little Interest</v>
      </c>
      <c r="F20" s="4"/>
      <c r="G20" s="4"/>
      <c r="H20" s="4"/>
      <c r="I20" s="4"/>
      <c r="J20" s="4"/>
      <c r="K20" s="4"/>
    </row>
    <row r="21" spans="1:11" ht="15.75" x14ac:dyDescent="0.25">
      <c r="A21" s="7">
        <v>45556</v>
      </c>
      <c r="B21" s="8">
        <v>42</v>
      </c>
      <c r="C21" s="8">
        <v>51</v>
      </c>
      <c r="D21" s="8" t="str">
        <f t="shared" si="0"/>
        <v>Average Interest</v>
      </c>
      <c r="E21" s="8" t="str">
        <f t="shared" si="1"/>
        <v>Average Interest</v>
      </c>
      <c r="F21" s="4"/>
      <c r="G21" s="4"/>
      <c r="H21" s="4"/>
      <c r="I21" s="4"/>
      <c r="J21" s="4"/>
      <c r="K21" s="4"/>
    </row>
    <row r="22" spans="1:11" ht="15.75" x14ac:dyDescent="0.25">
      <c r="A22" s="7">
        <v>45557</v>
      </c>
      <c r="B22" s="8">
        <v>39</v>
      </c>
      <c r="C22" s="8">
        <v>47</v>
      </c>
      <c r="D22" s="8" t="str">
        <f t="shared" si="0"/>
        <v>Little Interest</v>
      </c>
      <c r="E22" s="8" t="str">
        <f t="shared" si="1"/>
        <v>Average Interest</v>
      </c>
      <c r="F22" s="4"/>
      <c r="G22" s="4"/>
      <c r="H22" s="4"/>
      <c r="I22" s="4"/>
      <c r="J22" s="4"/>
      <c r="K22" s="4"/>
    </row>
    <row r="23" spans="1:11" ht="15.75" x14ac:dyDescent="0.25">
      <c r="A23" s="7">
        <v>45558</v>
      </c>
      <c r="B23" s="8">
        <v>29</v>
      </c>
      <c r="C23" s="8">
        <v>34</v>
      </c>
      <c r="D23" s="8" t="str">
        <f t="shared" si="0"/>
        <v>Little Interest</v>
      </c>
      <c r="E23" s="8" t="str">
        <f t="shared" si="1"/>
        <v>Little Interest</v>
      </c>
      <c r="F23" s="4"/>
      <c r="G23" s="4"/>
      <c r="H23" s="4"/>
      <c r="I23" s="4"/>
      <c r="J23" s="4"/>
      <c r="K23" s="4"/>
    </row>
    <row r="24" spans="1:11" ht="15.75" x14ac:dyDescent="0.25">
      <c r="A24" s="7">
        <v>45559</v>
      </c>
      <c r="B24" s="8">
        <v>29</v>
      </c>
      <c r="C24" s="8">
        <v>33</v>
      </c>
      <c r="D24" s="8" t="str">
        <f t="shared" si="0"/>
        <v>Little Interest</v>
      </c>
      <c r="E24" s="8" t="str">
        <f t="shared" si="1"/>
        <v>Little Interest</v>
      </c>
      <c r="F24" s="4"/>
      <c r="G24" s="4"/>
      <c r="H24" s="4"/>
      <c r="I24" s="4"/>
      <c r="J24" s="4"/>
      <c r="K24" s="4"/>
    </row>
    <row r="25" spans="1:11" ht="15.75" x14ac:dyDescent="0.25">
      <c r="A25" s="7">
        <v>45560</v>
      </c>
      <c r="B25" s="8">
        <v>34</v>
      </c>
      <c r="C25" s="8">
        <v>33</v>
      </c>
      <c r="D25" s="8" t="str">
        <f t="shared" si="0"/>
        <v>Little Interest</v>
      </c>
      <c r="E25" s="8" t="str">
        <f t="shared" si="1"/>
        <v>Little Interest</v>
      </c>
      <c r="F25" s="4"/>
      <c r="G25" s="4"/>
      <c r="H25" s="4"/>
      <c r="I25" s="4"/>
      <c r="J25" s="4"/>
      <c r="K25" s="4"/>
    </row>
    <row r="26" spans="1:11" ht="15.75" x14ac:dyDescent="0.25">
      <c r="A26" s="7">
        <v>45561</v>
      </c>
      <c r="B26" s="8">
        <v>51</v>
      </c>
      <c r="C26" s="8">
        <v>35</v>
      </c>
      <c r="D26" s="8" t="str">
        <f t="shared" si="0"/>
        <v>Average Interest</v>
      </c>
      <c r="E26" s="8" t="str">
        <f t="shared" si="1"/>
        <v>Little Interest</v>
      </c>
      <c r="F26" s="4"/>
      <c r="G26" s="4"/>
      <c r="H26" s="4"/>
      <c r="I26" s="4"/>
      <c r="J26" s="4"/>
      <c r="K26" s="4"/>
    </row>
    <row r="27" spans="1:11" ht="15.75" x14ac:dyDescent="0.25">
      <c r="A27" s="7">
        <v>45562</v>
      </c>
      <c r="B27" s="8">
        <v>35</v>
      </c>
      <c r="C27" s="8">
        <v>36</v>
      </c>
      <c r="D27" s="8" t="str">
        <f t="shared" si="0"/>
        <v>Little Interest</v>
      </c>
      <c r="E27" s="8" t="str">
        <f t="shared" si="1"/>
        <v>Little Interest</v>
      </c>
      <c r="F27" s="4"/>
      <c r="G27" s="4"/>
      <c r="H27" s="4"/>
      <c r="I27" s="4"/>
      <c r="J27" s="4"/>
      <c r="K27" s="4"/>
    </row>
    <row r="28" spans="1:11" ht="15.75" x14ac:dyDescent="0.25">
      <c r="A28" s="7">
        <v>45563</v>
      </c>
      <c r="B28" s="8">
        <v>39</v>
      </c>
      <c r="C28" s="8">
        <v>45</v>
      </c>
      <c r="D28" s="8" t="str">
        <f t="shared" si="0"/>
        <v>Little Interest</v>
      </c>
      <c r="E28" s="8" t="str">
        <f t="shared" si="1"/>
        <v>Average Interest</v>
      </c>
      <c r="F28" s="4"/>
      <c r="G28" s="4"/>
      <c r="H28" s="4"/>
      <c r="I28" s="4"/>
      <c r="J28" s="4"/>
      <c r="K28" s="4"/>
    </row>
    <row r="29" spans="1:11" ht="15.75" x14ac:dyDescent="0.25">
      <c r="A29" s="7">
        <v>45564</v>
      </c>
      <c r="B29" s="8">
        <v>37</v>
      </c>
      <c r="C29" s="8">
        <v>45</v>
      </c>
      <c r="D29" s="8" t="str">
        <f t="shared" si="0"/>
        <v>Little Interest</v>
      </c>
      <c r="E29" s="8" t="str">
        <f t="shared" si="1"/>
        <v>Average Interest</v>
      </c>
      <c r="F29" s="4"/>
      <c r="G29" s="4"/>
      <c r="H29" s="4"/>
      <c r="I29" s="4"/>
      <c r="J29" s="4"/>
      <c r="K29" s="4"/>
    </row>
    <row r="30" spans="1:11" ht="15.75" x14ac:dyDescent="0.25">
      <c r="A30" s="7">
        <v>45565</v>
      </c>
      <c r="B30" s="8">
        <v>28</v>
      </c>
      <c r="C30" s="8">
        <v>33</v>
      </c>
      <c r="D30" s="8" t="str">
        <f t="shared" si="0"/>
        <v>Little Interest</v>
      </c>
      <c r="E30" s="8" t="str">
        <f t="shared" si="1"/>
        <v>Little Interest</v>
      </c>
      <c r="F30" s="4" t="s">
        <v>29</v>
      </c>
      <c r="G30" s="4"/>
      <c r="H30" s="4"/>
      <c r="I30" s="4"/>
      <c r="J30" s="4"/>
      <c r="K30" s="4"/>
    </row>
    <row r="31" spans="1:11" ht="15.75" x14ac:dyDescent="0.25">
      <c r="A31" s="7">
        <v>45566</v>
      </c>
      <c r="B31" s="8">
        <v>40</v>
      </c>
      <c r="C31" s="8">
        <v>35</v>
      </c>
      <c r="D31" s="8" t="str">
        <f t="shared" si="0"/>
        <v>Average Interest</v>
      </c>
      <c r="E31" s="8" t="str">
        <f t="shared" si="1"/>
        <v>Little Interest</v>
      </c>
      <c r="F31" s="4"/>
      <c r="G31" s="4"/>
      <c r="H31" s="4"/>
      <c r="I31" s="4"/>
      <c r="J31" s="4"/>
      <c r="K31" s="4"/>
    </row>
    <row r="32" spans="1:11" ht="15.75" x14ac:dyDescent="0.25">
      <c r="A32" s="7">
        <v>45567</v>
      </c>
      <c r="B32" s="8">
        <v>27</v>
      </c>
      <c r="C32" s="8">
        <v>37</v>
      </c>
      <c r="D32" s="8" t="str">
        <f t="shared" si="0"/>
        <v>Little Interest</v>
      </c>
      <c r="E32" s="8" t="str">
        <f t="shared" si="1"/>
        <v>Little Interest</v>
      </c>
      <c r="F32" s="4"/>
      <c r="G32" s="4"/>
      <c r="H32" s="4"/>
      <c r="I32" s="4"/>
      <c r="J32" s="4"/>
      <c r="K32" s="4"/>
    </row>
    <row r="33" spans="1:11" ht="15.75" x14ac:dyDescent="0.25">
      <c r="A33" s="7">
        <v>45568</v>
      </c>
      <c r="B33" s="8">
        <v>27</v>
      </c>
      <c r="C33" s="8">
        <v>33</v>
      </c>
      <c r="D33" s="8" t="str">
        <f t="shared" si="0"/>
        <v>Little Interest</v>
      </c>
      <c r="E33" s="8" t="str">
        <f t="shared" si="1"/>
        <v>Little Interest</v>
      </c>
      <c r="F33" s="4"/>
      <c r="G33" s="4"/>
      <c r="H33" s="4"/>
      <c r="I33" s="4"/>
      <c r="J33" s="4"/>
      <c r="K33" s="4"/>
    </row>
    <row r="34" spans="1:11" ht="15.75" x14ac:dyDescent="0.25">
      <c r="A34" s="7">
        <v>45569</v>
      </c>
      <c r="B34" s="8">
        <v>29</v>
      </c>
      <c r="C34" s="8">
        <v>36</v>
      </c>
      <c r="D34" s="8" t="str">
        <f t="shared" si="0"/>
        <v>Little Interest</v>
      </c>
      <c r="E34" s="8" t="str">
        <f t="shared" si="1"/>
        <v>Little Interest</v>
      </c>
      <c r="F34" s="4"/>
      <c r="G34" s="4"/>
      <c r="H34" s="4"/>
      <c r="I34" s="4"/>
      <c r="J34" s="4"/>
      <c r="K34" s="4"/>
    </row>
    <row r="35" spans="1:11" ht="15.75" x14ac:dyDescent="0.25">
      <c r="A35" s="7">
        <v>45570</v>
      </c>
      <c r="B35" s="8">
        <v>36</v>
      </c>
      <c r="C35" s="8">
        <v>46</v>
      </c>
      <c r="D35" s="8" t="str">
        <f t="shared" si="0"/>
        <v>Little Interest</v>
      </c>
      <c r="E35" s="8" t="str">
        <f t="shared" si="1"/>
        <v>Average Interest</v>
      </c>
      <c r="F35" s="4"/>
      <c r="G35" s="4"/>
      <c r="H35" s="4"/>
      <c r="I35" s="4"/>
      <c r="J35" s="4"/>
      <c r="K35" s="4"/>
    </row>
    <row r="36" spans="1:11" ht="15.75" x14ac:dyDescent="0.25">
      <c r="A36" s="7">
        <v>45571</v>
      </c>
      <c r="B36" s="8">
        <v>38</v>
      </c>
      <c r="C36" s="8">
        <v>46</v>
      </c>
      <c r="D36" s="8" t="str">
        <f t="shared" ref="D36:D67" si="2">VLOOKUP(B36, lookup, 2)</f>
        <v>Little Interest</v>
      </c>
      <c r="E36" s="8" t="str">
        <f t="shared" ref="E36:E67" si="3">VLOOKUP(C36, lookup, 2)</f>
        <v>Average Interest</v>
      </c>
      <c r="F36" s="4"/>
      <c r="G36" s="4"/>
      <c r="H36" s="4"/>
      <c r="I36" s="4"/>
      <c r="J36" s="4"/>
      <c r="K36" s="4"/>
    </row>
    <row r="37" spans="1:11" ht="15.75" x14ac:dyDescent="0.25">
      <c r="A37" s="7">
        <v>45572</v>
      </c>
      <c r="B37" s="8">
        <v>28</v>
      </c>
      <c r="C37" s="8">
        <v>35</v>
      </c>
      <c r="D37" s="8" t="str">
        <f t="shared" si="2"/>
        <v>Little Interest</v>
      </c>
      <c r="E37" s="8" t="str">
        <f t="shared" si="3"/>
        <v>Little Interest</v>
      </c>
      <c r="F37" s="4"/>
      <c r="G37" s="4"/>
      <c r="H37" s="4"/>
      <c r="I37" s="4"/>
      <c r="J37" s="4"/>
      <c r="K37" s="4"/>
    </row>
    <row r="38" spans="1:11" ht="15.75" x14ac:dyDescent="0.25">
      <c r="A38" s="7">
        <v>45573</v>
      </c>
      <c r="B38" s="8">
        <v>30</v>
      </c>
      <c r="C38" s="8">
        <v>37</v>
      </c>
      <c r="D38" s="8" t="str">
        <f t="shared" si="2"/>
        <v>Little Interest</v>
      </c>
      <c r="E38" s="8" t="str">
        <f t="shared" si="3"/>
        <v>Little Interest</v>
      </c>
      <c r="F38" s="4"/>
      <c r="G38" s="4"/>
      <c r="H38" s="4"/>
      <c r="I38" s="4"/>
      <c r="J38" s="4"/>
      <c r="K38" s="4"/>
    </row>
    <row r="39" spans="1:11" ht="15.75" x14ac:dyDescent="0.25">
      <c r="A39" s="7">
        <v>45574</v>
      </c>
      <c r="B39" s="8">
        <v>30</v>
      </c>
      <c r="C39" s="8">
        <v>38</v>
      </c>
      <c r="D39" s="8" t="str">
        <f t="shared" si="2"/>
        <v>Little Interest</v>
      </c>
      <c r="E39" s="8" t="str">
        <f t="shared" si="3"/>
        <v>Little Interest</v>
      </c>
      <c r="F39" s="4"/>
      <c r="G39" s="4"/>
      <c r="H39" s="4"/>
      <c r="I39" s="4"/>
      <c r="J39" s="4"/>
      <c r="K39" s="4"/>
    </row>
    <row r="40" spans="1:11" ht="15.75" x14ac:dyDescent="0.25">
      <c r="A40" s="7">
        <v>45575</v>
      </c>
      <c r="B40" s="8">
        <v>33</v>
      </c>
      <c r="C40" s="8">
        <v>35</v>
      </c>
      <c r="D40" s="8" t="str">
        <f t="shared" si="2"/>
        <v>Little Interest</v>
      </c>
      <c r="E40" s="8" t="str">
        <f t="shared" si="3"/>
        <v>Little Interest</v>
      </c>
      <c r="F40" s="4"/>
      <c r="G40" s="4"/>
      <c r="H40" s="4"/>
      <c r="I40" s="4"/>
      <c r="J40" s="4"/>
      <c r="K40" s="4"/>
    </row>
    <row r="41" spans="1:11" ht="15.75" x14ac:dyDescent="0.25">
      <c r="A41" s="7">
        <v>45576</v>
      </c>
      <c r="B41" s="8">
        <v>32</v>
      </c>
      <c r="C41" s="8">
        <v>39</v>
      </c>
      <c r="D41" s="8" t="str">
        <f t="shared" si="2"/>
        <v>Little Interest</v>
      </c>
      <c r="E41" s="8" t="str">
        <f t="shared" si="3"/>
        <v>Little Interest</v>
      </c>
      <c r="F41" s="4"/>
      <c r="G41" s="4"/>
      <c r="H41" s="4"/>
      <c r="I41" s="4"/>
      <c r="J41" s="4"/>
      <c r="K41" s="4"/>
    </row>
    <row r="42" spans="1:11" ht="15.75" x14ac:dyDescent="0.25">
      <c r="A42" s="7">
        <v>45577</v>
      </c>
      <c r="B42" s="8">
        <v>40</v>
      </c>
      <c r="C42" s="8">
        <v>50</v>
      </c>
      <c r="D42" s="8" t="str">
        <f t="shared" si="2"/>
        <v>Average Interest</v>
      </c>
      <c r="E42" s="8" t="str">
        <f t="shared" si="3"/>
        <v>Average Interest</v>
      </c>
      <c r="F42" s="4"/>
      <c r="G42" s="4"/>
      <c r="H42" s="4"/>
      <c r="I42" s="4"/>
      <c r="J42" s="4"/>
      <c r="K42" s="4"/>
    </row>
    <row r="43" spans="1:11" ht="15.75" x14ac:dyDescent="0.25">
      <c r="A43" s="7">
        <v>45578</v>
      </c>
      <c r="B43" s="8">
        <v>38</v>
      </c>
      <c r="C43" s="8">
        <v>47</v>
      </c>
      <c r="D43" s="8" t="str">
        <f t="shared" si="2"/>
        <v>Little Interest</v>
      </c>
      <c r="E43" s="8" t="str">
        <f t="shared" si="3"/>
        <v>Average Interest</v>
      </c>
      <c r="F43" s="4"/>
      <c r="G43" s="4"/>
      <c r="H43" s="4"/>
      <c r="I43" s="4"/>
      <c r="J43" s="4"/>
      <c r="K43" s="4"/>
    </row>
    <row r="44" spans="1:11" ht="15.75" x14ac:dyDescent="0.25">
      <c r="A44" s="7">
        <v>45579</v>
      </c>
      <c r="B44" s="8">
        <v>30</v>
      </c>
      <c r="C44" s="8">
        <v>39</v>
      </c>
      <c r="D44" s="8" t="str">
        <f t="shared" si="2"/>
        <v>Little Interest</v>
      </c>
      <c r="E44" s="8" t="str">
        <f t="shared" si="3"/>
        <v>Little Interest</v>
      </c>
      <c r="F44" s="4"/>
      <c r="G44" s="4"/>
      <c r="H44" s="4"/>
      <c r="I44" s="4"/>
      <c r="J44" s="4"/>
      <c r="K44" s="4"/>
    </row>
    <row r="45" spans="1:11" ht="15.75" x14ac:dyDescent="0.25">
      <c r="A45" s="7">
        <v>45580</v>
      </c>
      <c r="B45" s="8">
        <v>27</v>
      </c>
      <c r="C45" s="8">
        <v>38</v>
      </c>
      <c r="D45" s="8" t="str">
        <f t="shared" si="2"/>
        <v>Little Interest</v>
      </c>
      <c r="E45" s="8" t="str">
        <f t="shared" si="3"/>
        <v>Little Interest</v>
      </c>
      <c r="F45" s="4"/>
      <c r="G45" s="4"/>
      <c r="H45" s="4"/>
      <c r="I45" s="4"/>
      <c r="J45" s="4"/>
      <c r="K45" s="4"/>
    </row>
    <row r="46" spans="1:11" ht="15.75" x14ac:dyDescent="0.25">
      <c r="A46" s="7">
        <v>45581</v>
      </c>
      <c r="B46" s="8">
        <v>26</v>
      </c>
      <c r="C46" s="8">
        <v>35</v>
      </c>
      <c r="D46" s="8" t="str">
        <f t="shared" si="2"/>
        <v>Little Interest</v>
      </c>
      <c r="E46" s="8" t="str">
        <f t="shared" si="3"/>
        <v>Little Interest</v>
      </c>
      <c r="F46" s="4"/>
      <c r="G46" s="4"/>
      <c r="H46" s="4"/>
      <c r="I46" s="4"/>
      <c r="J46" s="4"/>
      <c r="K46" s="4"/>
    </row>
    <row r="47" spans="1:11" ht="15.75" x14ac:dyDescent="0.25">
      <c r="A47" s="7">
        <v>45582</v>
      </c>
      <c r="B47" s="8">
        <v>26</v>
      </c>
      <c r="C47" s="8">
        <v>36</v>
      </c>
      <c r="D47" s="8" t="str">
        <f t="shared" si="2"/>
        <v>Little Interest</v>
      </c>
      <c r="E47" s="8" t="str">
        <f t="shared" si="3"/>
        <v>Little Interest</v>
      </c>
      <c r="F47" s="4"/>
      <c r="G47" s="4"/>
      <c r="H47" s="4"/>
      <c r="I47" s="4"/>
      <c r="J47" s="4"/>
      <c r="K47" s="4"/>
    </row>
    <row r="48" spans="1:11" ht="15.75" x14ac:dyDescent="0.25">
      <c r="A48" s="7">
        <v>45583</v>
      </c>
      <c r="B48" s="8">
        <v>29</v>
      </c>
      <c r="C48" s="8">
        <v>36</v>
      </c>
      <c r="D48" s="8" t="str">
        <f t="shared" si="2"/>
        <v>Little Interest</v>
      </c>
      <c r="E48" s="8" t="str">
        <f t="shared" si="3"/>
        <v>Little Interest</v>
      </c>
      <c r="F48" s="4"/>
      <c r="G48" s="4"/>
      <c r="H48" s="4"/>
      <c r="I48" s="4"/>
      <c r="J48" s="4"/>
      <c r="K48" s="4"/>
    </row>
    <row r="49" spans="1:11" ht="15.75" x14ac:dyDescent="0.25">
      <c r="A49" s="7">
        <v>45584</v>
      </c>
      <c r="B49" s="8">
        <v>36</v>
      </c>
      <c r="C49" s="8">
        <v>47</v>
      </c>
      <c r="D49" s="8" t="str">
        <f t="shared" si="2"/>
        <v>Little Interest</v>
      </c>
      <c r="E49" s="8" t="str">
        <f t="shared" si="3"/>
        <v>Average Interest</v>
      </c>
      <c r="F49" s="4"/>
      <c r="G49" s="4"/>
      <c r="H49" s="4"/>
      <c r="I49" s="4"/>
      <c r="J49" s="4"/>
      <c r="K49" s="4"/>
    </row>
    <row r="50" spans="1:11" ht="15.75" x14ac:dyDescent="0.25">
      <c r="A50" s="7">
        <v>45585</v>
      </c>
      <c r="B50" s="8">
        <v>36</v>
      </c>
      <c r="C50" s="8">
        <v>46</v>
      </c>
      <c r="D50" s="8" t="str">
        <f t="shared" si="2"/>
        <v>Little Interest</v>
      </c>
      <c r="E50" s="8" t="str">
        <f t="shared" si="3"/>
        <v>Average Interest</v>
      </c>
      <c r="F50" s="4"/>
      <c r="G50" s="4"/>
      <c r="H50" s="4"/>
      <c r="I50" s="4"/>
      <c r="J50" s="4"/>
      <c r="K50" s="4"/>
    </row>
    <row r="51" spans="1:11" ht="15.75" x14ac:dyDescent="0.25">
      <c r="A51" s="7">
        <v>45586</v>
      </c>
      <c r="B51" s="8">
        <v>27</v>
      </c>
      <c r="C51" s="8">
        <v>34</v>
      </c>
      <c r="D51" s="8" t="str">
        <f t="shared" si="2"/>
        <v>Little Interest</v>
      </c>
      <c r="E51" s="8" t="str">
        <f t="shared" si="3"/>
        <v>Little Interest</v>
      </c>
      <c r="F51" s="4"/>
      <c r="G51" s="4"/>
      <c r="H51" s="4"/>
      <c r="I51" s="4"/>
      <c r="J51" s="4"/>
      <c r="K51" s="4"/>
    </row>
    <row r="52" spans="1:11" ht="15.75" x14ac:dyDescent="0.25">
      <c r="A52" s="7">
        <v>45587</v>
      </c>
      <c r="B52" s="8">
        <v>26</v>
      </c>
      <c r="C52" s="8">
        <v>35</v>
      </c>
      <c r="D52" s="8" t="str">
        <f t="shared" si="2"/>
        <v>Little Interest</v>
      </c>
      <c r="E52" s="8" t="str">
        <f t="shared" si="3"/>
        <v>Little Interest</v>
      </c>
      <c r="F52" s="4"/>
      <c r="G52" s="4"/>
      <c r="H52" s="4"/>
      <c r="I52" s="4"/>
      <c r="J52" s="4"/>
      <c r="K52" s="4"/>
    </row>
    <row r="53" spans="1:11" ht="15.75" x14ac:dyDescent="0.25">
      <c r="A53" s="7">
        <v>45588</v>
      </c>
      <c r="B53" s="8">
        <v>28</v>
      </c>
      <c r="C53" s="8">
        <v>34</v>
      </c>
      <c r="D53" s="8" t="str">
        <f t="shared" si="2"/>
        <v>Little Interest</v>
      </c>
      <c r="E53" s="8" t="str">
        <f t="shared" si="3"/>
        <v>Little Interest</v>
      </c>
      <c r="F53" s="4"/>
      <c r="G53" s="4"/>
      <c r="H53" s="4"/>
      <c r="I53" s="4"/>
      <c r="J53" s="4"/>
      <c r="K53" s="4"/>
    </row>
    <row r="54" spans="1:11" ht="15.75" x14ac:dyDescent="0.25">
      <c r="A54" s="7">
        <v>45589</v>
      </c>
      <c r="B54" s="8">
        <v>30</v>
      </c>
      <c r="C54" s="8">
        <v>41</v>
      </c>
      <c r="D54" s="8" t="str">
        <f t="shared" si="2"/>
        <v>Little Interest</v>
      </c>
      <c r="E54" s="8" t="str">
        <f t="shared" si="3"/>
        <v>Average Interest</v>
      </c>
      <c r="F54" s="4"/>
      <c r="G54" s="4"/>
      <c r="H54" s="4"/>
      <c r="I54" s="4"/>
      <c r="J54" s="4"/>
      <c r="K54" s="4"/>
    </row>
    <row r="55" spans="1:11" ht="15.75" x14ac:dyDescent="0.25">
      <c r="A55" s="7">
        <v>45590</v>
      </c>
      <c r="B55" s="8">
        <v>32</v>
      </c>
      <c r="C55" s="8">
        <v>46</v>
      </c>
      <c r="D55" s="8" t="str">
        <f t="shared" si="2"/>
        <v>Little Interest</v>
      </c>
      <c r="E55" s="8" t="str">
        <f t="shared" si="3"/>
        <v>Average Interest</v>
      </c>
      <c r="F55" s="4"/>
      <c r="G55" s="4"/>
      <c r="H55" s="4"/>
      <c r="I55" s="4"/>
      <c r="J55" s="4"/>
      <c r="K55" s="4"/>
    </row>
    <row r="56" spans="1:11" ht="15.75" x14ac:dyDescent="0.25">
      <c r="A56" s="7">
        <v>45591</v>
      </c>
      <c r="B56" s="8">
        <v>39</v>
      </c>
      <c r="C56" s="8">
        <v>54</v>
      </c>
      <c r="D56" s="8" t="str">
        <f t="shared" si="2"/>
        <v>Little Interest</v>
      </c>
      <c r="E56" s="8" t="str">
        <f t="shared" si="3"/>
        <v>Average Interest</v>
      </c>
      <c r="F56" s="4"/>
      <c r="G56" s="4"/>
      <c r="H56" s="4"/>
      <c r="I56" s="4"/>
      <c r="J56" s="4"/>
      <c r="K56" s="4"/>
    </row>
    <row r="57" spans="1:11" ht="15.75" x14ac:dyDescent="0.25">
      <c r="A57" s="7">
        <v>45592</v>
      </c>
      <c r="B57" s="8">
        <v>40</v>
      </c>
      <c r="C57" s="8">
        <v>54</v>
      </c>
      <c r="D57" s="8" t="str">
        <f t="shared" si="2"/>
        <v>Average Interest</v>
      </c>
      <c r="E57" s="8" t="str">
        <f t="shared" si="3"/>
        <v>Average Interest</v>
      </c>
      <c r="F57" s="4"/>
      <c r="G57" s="4"/>
      <c r="H57" s="4"/>
      <c r="I57" s="4"/>
      <c r="J57" s="4"/>
      <c r="K57" s="4"/>
    </row>
    <row r="58" spans="1:11" ht="15.75" x14ac:dyDescent="0.25">
      <c r="A58" s="7">
        <v>45593</v>
      </c>
      <c r="B58" s="8">
        <v>27</v>
      </c>
      <c r="C58" s="8">
        <v>40</v>
      </c>
      <c r="D58" s="8" t="str">
        <f t="shared" si="2"/>
        <v>Little Interest</v>
      </c>
      <c r="E58" s="8" t="str">
        <f t="shared" si="3"/>
        <v>Average Interest</v>
      </c>
      <c r="F58" s="4"/>
      <c r="G58" s="4"/>
      <c r="H58" s="4"/>
      <c r="I58" s="4"/>
      <c r="J58" s="4"/>
      <c r="K58" s="4"/>
    </row>
    <row r="59" spans="1:11" ht="15.75" x14ac:dyDescent="0.25">
      <c r="A59" s="7">
        <v>45594</v>
      </c>
      <c r="B59" s="8">
        <v>29</v>
      </c>
      <c r="C59" s="8">
        <v>36</v>
      </c>
      <c r="D59" s="8" t="str">
        <f t="shared" si="2"/>
        <v>Little Interest</v>
      </c>
      <c r="E59" s="8" t="str">
        <f t="shared" si="3"/>
        <v>Little Interest</v>
      </c>
      <c r="F59" s="4"/>
      <c r="G59" s="4"/>
      <c r="H59" s="4"/>
      <c r="I59" s="4"/>
      <c r="J59" s="4"/>
      <c r="K59" s="4"/>
    </row>
    <row r="60" spans="1:11" ht="15.75" x14ac:dyDescent="0.25">
      <c r="A60" s="7">
        <v>45595</v>
      </c>
      <c r="B60" s="8">
        <v>27</v>
      </c>
      <c r="C60" s="8">
        <v>36</v>
      </c>
      <c r="D60" s="8" t="str">
        <f t="shared" si="2"/>
        <v>Little Interest</v>
      </c>
      <c r="E60" s="8" t="str">
        <f t="shared" si="3"/>
        <v>Little Interest</v>
      </c>
      <c r="F60" s="4"/>
      <c r="G60" s="4"/>
      <c r="H60" s="4"/>
      <c r="I60" s="4"/>
      <c r="J60" s="4"/>
      <c r="K60" s="4"/>
    </row>
    <row r="61" spans="1:11" ht="15.75" x14ac:dyDescent="0.25">
      <c r="A61" s="7">
        <v>45596</v>
      </c>
      <c r="B61" s="8">
        <v>26</v>
      </c>
      <c r="C61" s="8">
        <v>35</v>
      </c>
      <c r="D61" s="8" t="str">
        <f t="shared" si="2"/>
        <v>Little Interest</v>
      </c>
      <c r="E61" s="8" t="str">
        <f t="shared" si="3"/>
        <v>Little Interest</v>
      </c>
      <c r="F61" s="4"/>
      <c r="G61" s="4"/>
      <c r="H61" s="4"/>
      <c r="I61" s="4"/>
      <c r="J61" s="4"/>
      <c r="K61" s="4"/>
    </row>
    <row r="62" spans="1:11" ht="15.75" x14ac:dyDescent="0.25">
      <c r="A62" s="7">
        <v>45597</v>
      </c>
      <c r="B62" s="8">
        <v>28</v>
      </c>
      <c r="C62" s="8">
        <v>41</v>
      </c>
      <c r="D62" s="8" t="str">
        <f t="shared" si="2"/>
        <v>Little Interest</v>
      </c>
      <c r="E62" s="8" t="str">
        <f t="shared" si="3"/>
        <v>Average Interest</v>
      </c>
      <c r="F62" s="4"/>
      <c r="G62" s="4"/>
      <c r="H62" s="4"/>
      <c r="I62" s="4"/>
      <c r="J62" s="4"/>
      <c r="K62" s="4"/>
    </row>
    <row r="63" spans="1:11" ht="15.75" x14ac:dyDescent="0.25">
      <c r="A63" s="7">
        <v>45598</v>
      </c>
      <c r="B63" s="8">
        <v>43</v>
      </c>
      <c r="C63" s="8">
        <v>58</v>
      </c>
      <c r="D63" s="8" t="str">
        <f t="shared" si="2"/>
        <v>Average Interest</v>
      </c>
      <c r="E63" s="8" t="str">
        <f t="shared" si="3"/>
        <v>Average Interest</v>
      </c>
      <c r="F63" s="4"/>
      <c r="G63" s="4"/>
      <c r="H63" s="4"/>
      <c r="I63" s="4"/>
      <c r="J63" s="4"/>
      <c r="K63" s="4"/>
    </row>
    <row r="64" spans="1:11" ht="15.75" x14ac:dyDescent="0.25">
      <c r="A64" s="7">
        <v>45599</v>
      </c>
      <c r="B64" s="8">
        <v>44</v>
      </c>
      <c r="C64" s="8">
        <v>60</v>
      </c>
      <c r="D64" s="8" t="str">
        <f t="shared" si="2"/>
        <v>Average Interest</v>
      </c>
      <c r="E64" s="8" t="str">
        <f t="shared" si="3"/>
        <v>Above Average Interest</v>
      </c>
      <c r="F64" s="4"/>
      <c r="G64" s="4"/>
      <c r="H64" s="4"/>
      <c r="I64" s="4"/>
      <c r="J64" s="4"/>
      <c r="K64" s="4"/>
    </row>
    <row r="65" spans="1:11" ht="15.75" x14ac:dyDescent="0.25">
      <c r="A65" s="7">
        <v>45600</v>
      </c>
      <c r="B65" s="8">
        <v>32</v>
      </c>
      <c r="C65" s="8">
        <v>42</v>
      </c>
      <c r="D65" s="8" t="str">
        <f t="shared" si="2"/>
        <v>Little Interest</v>
      </c>
      <c r="E65" s="8" t="str">
        <f t="shared" si="3"/>
        <v>Average Interest</v>
      </c>
      <c r="F65" s="4"/>
      <c r="G65" s="4"/>
      <c r="H65" s="4"/>
      <c r="I65" s="4"/>
      <c r="J65" s="4"/>
      <c r="K65" s="4"/>
    </row>
    <row r="66" spans="1:11" ht="15.75" x14ac:dyDescent="0.25">
      <c r="A66" s="7">
        <v>45601</v>
      </c>
      <c r="B66" s="8">
        <v>30</v>
      </c>
      <c r="C66" s="8">
        <v>38</v>
      </c>
      <c r="D66" s="8" t="str">
        <f t="shared" si="2"/>
        <v>Little Interest</v>
      </c>
      <c r="E66" s="8" t="str">
        <f t="shared" si="3"/>
        <v>Little Interest</v>
      </c>
      <c r="F66" s="4"/>
      <c r="G66" s="4"/>
      <c r="H66" s="4"/>
      <c r="I66" s="4"/>
      <c r="J66" s="4"/>
      <c r="K66" s="4"/>
    </row>
    <row r="67" spans="1:11" ht="15.75" x14ac:dyDescent="0.25">
      <c r="A67" s="7">
        <v>45602</v>
      </c>
      <c r="B67" s="8">
        <v>22</v>
      </c>
      <c r="C67" s="8">
        <v>27</v>
      </c>
      <c r="D67" s="8" t="str">
        <f t="shared" si="2"/>
        <v>Little Interest</v>
      </c>
      <c r="E67" s="8" t="str">
        <f t="shared" si="3"/>
        <v>Little Interest</v>
      </c>
      <c r="F67" s="4"/>
      <c r="G67" s="4"/>
      <c r="H67" s="4"/>
      <c r="I67" s="4"/>
      <c r="J67" s="4"/>
      <c r="K67" s="4"/>
    </row>
    <row r="68" spans="1:11" ht="15.75" x14ac:dyDescent="0.25">
      <c r="A68" s="7">
        <v>45603</v>
      </c>
      <c r="B68" s="8">
        <v>36</v>
      </c>
      <c r="C68" s="8">
        <v>38</v>
      </c>
      <c r="D68" s="8" t="str">
        <f t="shared" ref="D68:D95" si="4">VLOOKUP(B68, lookup, 2)</f>
        <v>Little Interest</v>
      </c>
      <c r="E68" s="8" t="str">
        <f t="shared" ref="E68:E95" si="5">VLOOKUP(C68, lookup, 2)</f>
        <v>Little Interest</v>
      </c>
      <c r="F68" s="4"/>
      <c r="G68" s="4"/>
      <c r="H68" s="4"/>
      <c r="I68" s="4"/>
      <c r="J68" s="4"/>
      <c r="K68" s="4"/>
    </row>
    <row r="69" spans="1:11" ht="15.75" x14ac:dyDescent="0.25">
      <c r="A69" s="7">
        <v>45604</v>
      </c>
      <c r="B69" s="8">
        <v>42</v>
      </c>
      <c r="C69" s="8">
        <v>42</v>
      </c>
      <c r="D69" s="8" t="str">
        <f t="shared" si="4"/>
        <v>Average Interest</v>
      </c>
      <c r="E69" s="8" t="str">
        <f t="shared" si="5"/>
        <v>Average Interest</v>
      </c>
      <c r="F69" s="4"/>
      <c r="G69" s="4"/>
      <c r="H69" s="4"/>
      <c r="I69" s="4"/>
      <c r="J69" s="4"/>
      <c r="K69" s="4"/>
    </row>
    <row r="70" spans="1:11" ht="15.75" x14ac:dyDescent="0.25">
      <c r="A70" s="7">
        <v>45605</v>
      </c>
      <c r="B70" s="8">
        <v>49</v>
      </c>
      <c r="C70" s="8">
        <v>55</v>
      </c>
      <c r="D70" s="8" t="str">
        <f t="shared" si="4"/>
        <v>Average Interest</v>
      </c>
      <c r="E70" s="8" t="str">
        <f t="shared" si="5"/>
        <v>Average Interest</v>
      </c>
      <c r="F70" s="4"/>
      <c r="G70" s="4"/>
      <c r="H70" s="4"/>
      <c r="I70" s="4"/>
      <c r="J70" s="4"/>
      <c r="K70" s="4"/>
    </row>
    <row r="71" spans="1:11" ht="15.75" x14ac:dyDescent="0.25">
      <c r="A71" s="7">
        <v>45606</v>
      </c>
      <c r="B71" s="8">
        <v>48</v>
      </c>
      <c r="C71" s="8">
        <v>57</v>
      </c>
      <c r="D71" s="8" t="str">
        <f t="shared" si="4"/>
        <v>Average Interest</v>
      </c>
      <c r="E71" s="8" t="str">
        <f t="shared" si="5"/>
        <v>Average Interest</v>
      </c>
      <c r="F71" s="4"/>
      <c r="G71" s="4"/>
      <c r="H71" s="4"/>
      <c r="I71" s="4"/>
      <c r="J71" s="4"/>
      <c r="K71" s="4"/>
    </row>
    <row r="72" spans="1:11" ht="15.75" x14ac:dyDescent="0.25">
      <c r="A72" s="7">
        <v>45607</v>
      </c>
      <c r="B72" s="8">
        <v>41</v>
      </c>
      <c r="C72" s="8">
        <v>47</v>
      </c>
      <c r="D72" s="8" t="str">
        <f t="shared" si="4"/>
        <v>Average Interest</v>
      </c>
      <c r="E72" s="8" t="str">
        <f t="shared" si="5"/>
        <v>Average Interest</v>
      </c>
      <c r="F72" s="4"/>
      <c r="G72" s="4"/>
      <c r="H72" s="4"/>
      <c r="I72" s="4"/>
      <c r="J72" s="4"/>
      <c r="K72" s="4"/>
    </row>
    <row r="73" spans="1:11" ht="15.75" x14ac:dyDescent="0.25">
      <c r="A73" s="7">
        <v>45608</v>
      </c>
      <c r="B73" s="8">
        <v>35</v>
      </c>
      <c r="C73" s="8">
        <v>41</v>
      </c>
      <c r="D73" s="8" t="str">
        <f t="shared" si="4"/>
        <v>Little Interest</v>
      </c>
      <c r="E73" s="8" t="str">
        <f t="shared" si="5"/>
        <v>Average Interest</v>
      </c>
      <c r="F73" s="4"/>
      <c r="G73" s="4"/>
      <c r="H73" s="4"/>
      <c r="I73" s="4"/>
      <c r="J73" s="4"/>
      <c r="K73" s="4"/>
    </row>
    <row r="74" spans="1:11" ht="15.75" x14ac:dyDescent="0.25">
      <c r="A74" s="7">
        <v>45609</v>
      </c>
      <c r="B74" s="8">
        <v>37</v>
      </c>
      <c r="C74" s="8">
        <v>48</v>
      </c>
      <c r="D74" s="8" t="str">
        <f t="shared" si="4"/>
        <v>Little Interest</v>
      </c>
      <c r="E74" s="8" t="str">
        <f t="shared" si="5"/>
        <v>Average Interest</v>
      </c>
      <c r="F74" s="4"/>
      <c r="G74" s="4"/>
      <c r="H74" s="4"/>
      <c r="I74" s="4"/>
      <c r="J74" s="4"/>
      <c r="K74" s="4"/>
    </row>
    <row r="75" spans="1:11" ht="15.75" x14ac:dyDescent="0.25">
      <c r="A75" s="7">
        <v>45610</v>
      </c>
      <c r="B75" s="8">
        <v>35</v>
      </c>
      <c r="C75" s="8">
        <v>46</v>
      </c>
      <c r="D75" s="8" t="str">
        <f t="shared" si="4"/>
        <v>Little Interest</v>
      </c>
      <c r="E75" s="8" t="str">
        <f t="shared" si="5"/>
        <v>Average Interest</v>
      </c>
      <c r="F75" s="4"/>
      <c r="G75" s="4"/>
      <c r="H75" s="4"/>
      <c r="I75" s="4"/>
      <c r="J75" s="4"/>
      <c r="K75" s="4"/>
    </row>
    <row r="76" spans="1:11" ht="15.75" x14ac:dyDescent="0.25">
      <c r="A76" s="7">
        <v>45611</v>
      </c>
      <c r="B76" s="8">
        <v>35</v>
      </c>
      <c r="C76" s="8">
        <v>47</v>
      </c>
      <c r="D76" s="8" t="str">
        <f t="shared" si="4"/>
        <v>Little Interest</v>
      </c>
      <c r="E76" s="8" t="str">
        <f t="shared" si="5"/>
        <v>Average Interest</v>
      </c>
      <c r="F76" s="4"/>
      <c r="G76" s="4"/>
      <c r="H76" s="4"/>
      <c r="I76" s="4"/>
      <c r="J76" s="4"/>
      <c r="K76" s="4"/>
    </row>
    <row r="77" spans="1:11" ht="15.75" x14ac:dyDescent="0.25">
      <c r="A77" s="7">
        <v>45612</v>
      </c>
      <c r="B77" s="8">
        <v>43</v>
      </c>
      <c r="C77" s="8">
        <v>54</v>
      </c>
      <c r="D77" s="8" t="str">
        <f t="shared" si="4"/>
        <v>Average Interest</v>
      </c>
      <c r="E77" s="8" t="str">
        <f t="shared" si="5"/>
        <v>Average Interest</v>
      </c>
      <c r="F77" s="4"/>
      <c r="G77" s="4"/>
      <c r="H77" s="4"/>
      <c r="I77" s="4"/>
      <c r="J77" s="4"/>
      <c r="K77" s="4"/>
    </row>
    <row r="78" spans="1:11" ht="15.75" x14ac:dyDescent="0.25">
      <c r="A78" s="7">
        <v>45613</v>
      </c>
      <c r="B78" s="8">
        <v>47</v>
      </c>
      <c r="C78" s="8">
        <v>61</v>
      </c>
      <c r="D78" s="8" t="str">
        <f t="shared" si="4"/>
        <v>Average Interest</v>
      </c>
      <c r="E78" s="8" t="str">
        <f t="shared" si="5"/>
        <v>Above Average Interest</v>
      </c>
      <c r="F78" s="4"/>
      <c r="G78" s="4"/>
      <c r="H78" s="4"/>
      <c r="I78" s="4"/>
      <c r="J78" s="4"/>
      <c r="K78" s="4"/>
    </row>
    <row r="79" spans="1:11" ht="15.75" x14ac:dyDescent="0.25">
      <c r="A79" s="7">
        <v>45614</v>
      </c>
      <c r="B79" s="8">
        <v>36</v>
      </c>
      <c r="C79" s="8">
        <v>46</v>
      </c>
      <c r="D79" s="8" t="str">
        <f t="shared" si="4"/>
        <v>Little Interest</v>
      </c>
      <c r="E79" s="8" t="str">
        <f t="shared" si="5"/>
        <v>Average Interest</v>
      </c>
      <c r="F79" s="4"/>
      <c r="G79" s="4"/>
      <c r="H79" s="4"/>
      <c r="I79" s="4"/>
      <c r="J79" s="4"/>
      <c r="K79" s="4"/>
    </row>
    <row r="80" spans="1:11" ht="15.75" x14ac:dyDescent="0.25">
      <c r="A80" s="7">
        <v>45615</v>
      </c>
      <c r="B80" s="8">
        <v>32</v>
      </c>
      <c r="C80" s="8">
        <v>43</v>
      </c>
      <c r="D80" s="8" t="str">
        <f t="shared" si="4"/>
        <v>Little Interest</v>
      </c>
      <c r="E80" s="8" t="str">
        <f t="shared" si="5"/>
        <v>Average Interest</v>
      </c>
      <c r="F80" s="4"/>
      <c r="G80" s="4"/>
      <c r="H80" s="4"/>
      <c r="I80" s="4"/>
      <c r="J80" s="4"/>
      <c r="K80" s="4"/>
    </row>
    <row r="81" spans="1:11" ht="15.75" x14ac:dyDescent="0.25">
      <c r="A81" s="7">
        <v>45616</v>
      </c>
      <c r="B81" s="8">
        <v>36</v>
      </c>
      <c r="C81" s="8">
        <v>47</v>
      </c>
      <c r="D81" s="8" t="str">
        <f t="shared" si="4"/>
        <v>Little Interest</v>
      </c>
      <c r="E81" s="8" t="str">
        <f t="shared" si="5"/>
        <v>Average Interest</v>
      </c>
      <c r="F81" s="4"/>
      <c r="G81" s="4"/>
      <c r="H81" s="4"/>
      <c r="I81" s="4"/>
      <c r="J81" s="4"/>
      <c r="K81" s="4"/>
    </row>
    <row r="82" spans="1:11" ht="15.75" x14ac:dyDescent="0.25">
      <c r="A82" s="7">
        <v>45617</v>
      </c>
      <c r="B82" s="8">
        <v>45</v>
      </c>
      <c r="C82" s="8">
        <v>48</v>
      </c>
      <c r="D82" s="8" t="str">
        <f t="shared" si="4"/>
        <v>Average Interest</v>
      </c>
      <c r="E82" s="8" t="str">
        <f t="shared" si="5"/>
        <v>Average Interest</v>
      </c>
      <c r="F82" s="4"/>
      <c r="G82" s="4"/>
      <c r="H82" s="4"/>
      <c r="I82" s="4"/>
      <c r="J82" s="4"/>
      <c r="K82" s="4"/>
    </row>
    <row r="83" spans="1:11" ht="15.75" x14ac:dyDescent="0.25">
      <c r="A83" s="7">
        <v>45618</v>
      </c>
      <c r="B83" s="8">
        <v>54</v>
      </c>
      <c r="C83" s="8">
        <v>53</v>
      </c>
      <c r="D83" s="8" t="str">
        <f t="shared" si="4"/>
        <v>Average Interest</v>
      </c>
      <c r="E83" s="8" t="str">
        <f t="shared" si="5"/>
        <v>Average Interest</v>
      </c>
      <c r="F83" s="4"/>
      <c r="G83" s="4"/>
      <c r="H83" s="4"/>
      <c r="I83" s="4"/>
      <c r="J83" s="4"/>
      <c r="K83" s="4"/>
    </row>
    <row r="84" spans="1:11" ht="15.75" x14ac:dyDescent="0.25">
      <c r="A84" s="7">
        <v>45619</v>
      </c>
      <c r="B84" s="8">
        <v>63</v>
      </c>
      <c r="C84" s="8">
        <v>70</v>
      </c>
      <c r="D84" s="8" t="str">
        <f t="shared" si="4"/>
        <v>Above Average Interest</v>
      </c>
      <c r="E84" s="8" t="str">
        <f t="shared" si="5"/>
        <v>Above Average Interest</v>
      </c>
      <c r="F84" s="4"/>
      <c r="G84" s="4"/>
      <c r="H84" s="4"/>
      <c r="I84" s="4"/>
      <c r="J84" s="4"/>
      <c r="K84" s="4"/>
    </row>
    <row r="85" spans="1:11" ht="15.75" x14ac:dyDescent="0.25">
      <c r="A85" s="7">
        <v>45620</v>
      </c>
      <c r="B85" s="8">
        <v>64</v>
      </c>
      <c r="C85" s="8">
        <v>68</v>
      </c>
      <c r="D85" s="8" t="str">
        <f t="shared" si="4"/>
        <v>Above Average Interest</v>
      </c>
      <c r="E85" s="8" t="str">
        <f t="shared" si="5"/>
        <v>Above Average Interest</v>
      </c>
      <c r="F85" s="4"/>
      <c r="G85" s="4"/>
      <c r="H85" s="4"/>
      <c r="I85" s="4"/>
      <c r="J85" s="4"/>
      <c r="K85" s="4"/>
    </row>
    <row r="86" spans="1:11" ht="15.75" x14ac:dyDescent="0.25">
      <c r="A86" s="7">
        <v>45621</v>
      </c>
      <c r="B86" s="8">
        <v>52</v>
      </c>
      <c r="C86" s="8">
        <v>56</v>
      </c>
      <c r="D86" s="8" t="str">
        <f t="shared" si="4"/>
        <v>Average Interest</v>
      </c>
      <c r="E86" s="8" t="str">
        <f t="shared" si="5"/>
        <v>Average Interest</v>
      </c>
      <c r="F86" s="4"/>
      <c r="G86" s="4"/>
      <c r="H86" s="4"/>
      <c r="I86" s="4"/>
      <c r="J86" s="4"/>
      <c r="K86" s="4"/>
    </row>
    <row r="87" spans="1:11" ht="15.75" x14ac:dyDescent="0.25">
      <c r="A87" s="7">
        <v>45622</v>
      </c>
      <c r="B87" s="8">
        <v>53</v>
      </c>
      <c r="C87" s="8">
        <v>57</v>
      </c>
      <c r="D87" s="8" t="str">
        <f t="shared" si="4"/>
        <v>Average Interest</v>
      </c>
      <c r="E87" s="8" t="str">
        <f t="shared" si="5"/>
        <v>Average Interest</v>
      </c>
      <c r="F87" s="4"/>
      <c r="G87" s="4"/>
      <c r="H87" s="4"/>
      <c r="I87" s="4"/>
      <c r="J87" s="4"/>
      <c r="K87" s="4"/>
    </row>
    <row r="88" spans="1:11" ht="15.75" x14ac:dyDescent="0.25">
      <c r="A88" s="7">
        <v>45623</v>
      </c>
      <c r="B88" s="8">
        <v>57</v>
      </c>
      <c r="C88" s="8">
        <v>64</v>
      </c>
      <c r="D88" s="8" t="str">
        <f t="shared" si="4"/>
        <v>Average Interest</v>
      </c>
      <c r="E88" s="8" t="str">
        <f t="shared" si="5"/>
        <v>Above Average Interest</v>
      </c>
      <c r="F88" s="4"/>
      <c r="G88" s="4"/>
      <c r="H88" s="4"/>
      <c r="I88" s="4"/>
      <c r="J88" s="4"/>
      <c r="K88" s="4"/>
    </row>
    <row r="89" spans="1:11" ht="15.75" x14ac:dyDescent="0.25">
      <c r="A89" s="7">
        <v>45624</v>
      </c>
      <c r="B89" s="8">
        <v>66</v>
      </c>
      <c r="C89" s="8">
        <v>77</v>
      </c>
      <c r="D89" s="8" t="str">
        <f t="shared" si="4"/>
        <v>Above Average Interest</v>
      </c>
      <c r="E89" s="8" t="str">
        <f t="shared" si="5"/>
        <v>Above Average Interest</v>
      </c>
      <c r="F89" s="4"/>
      <c r="G89" s="4"/>
      <c r="H89" s="4"/>
      <c r="I89" s="4"/>
      <c r="J89" s="4"/>
      <c r="K89" s="4"/>
    </row>
    <row r="90" spans="1:11" ht="15.75" x14ac:dyDescent="0.25">
      <c r="A90" s="7">
        <v>45625</v>
      </c>
      <c r="B90" s="8">
        <v>98</v>
      </c>
      <c r="C90" s="8">
        <v>100</v>
      </c>
      <c r="D90" s="8" t="str">
        <f t="shared" si="4"/>
        <v>high Interest</v>
      </c>
      <c r="E90" s="8" t="str">
        <f t="shared" si="5"/>
        <v>Best Interest</v>
      </c>
      <c r="F90" s="4"/>
      <c r="G90" s="4"/>
      <c r="H90" s="4"/>
      <c r="I90" s="4"/>
      <c r="J90" s="4"/>
      <c r="K90" s="4"/>
    </row>
    <row r="91" spans="1:11" ht="15.75" x14ac:dyDescent="0.25">
      <c r="A91" s="7">
        <v>45626</v>
      </c>
      <c r="B91" s="8">
        <v>79</v>
      </c>
      <c r="C91" s="8">
        <v>86</v>
      </c>
      <c r="D91" s="8" t="str">
        <f t="shared" si="4"/>
        <v>Above Average Interest</v>
      </c>
      <c r="E91" s="8" t="str">
        <f t="shared" si="5"/>
        <v>high Interest</v>
      </c>
      <c r="F91" s="4"/>
      <c r="G91" s="4"/>
      <c r="H91" s="4"/>
      <c r="I91" s="4"/>
      <c r="J91" s="4"/>
      <c r="K91" s="4"/>
    </row>
    <row r="92" spans="1:11" ht="15.75" x14ac:dyDescent="0.25">
      <c r="A92" s="7">
        <v>45627</v>
      </c>
      <c r="B92" s="8">
        <v>73</v>
      </c>
      <c r="C92" s="8">
        <v>83</v>
      </c>
      <c r="D92" s="8" t="str">
        <f t="shared" si="4"/>
        <v>Above Average Interest</v>
      </c>
      <c r="E92" s="8" t="str">
        <f t="shared" si="5"/>
        <v>high Interest</v>
      </c>
      <c r="F92" s="4"/>
      <c r="G92" s="4"/>
      <c r="H92" s="4"/>
      <c r="I92" s="4"/>
      <c r="J92" s="4"/>
      <c r="K92" s="4"/>
    </row>
    <row r="93" spans="1:11" ht="15.75" x14ac:dyDescent="0.25">
      <c r="A93" s="7">
        <v>45628</v>
      </c>
      <c r="B93" s="8">
        <v>61</v>
      </c>
      <c r="C93" s="8">
        <v>63</v>
      </c>
      <c r="D93" s="8" t="str">
        <f t="shared" si="4"/>
        <v>Above Average Interest</v>
      </c>
      <c r="E93" s="8" t="str">
        <f t="shared" si="5"/>
        <v>Above Average Interest</v>
      </c>
      <c r="F93" s="4"/>
      <c r="G93" s="4"/>
      <c r="H93" s="4"/>
      <c r="I93" s="4"/>
      <c r="J93" s="4"/>
      <c r="K93" s="4"/>
    </row>
    <row r="94" spans="1:11" ht="15.75" x14ac:dyDescent="0.25">
      <c r="A94" s="7">
        <v>45629</v>
      </c>
      <c r="B94" s="8">
        <v>51</v>
      </c>
      <c r="C94" s="8">
        <v>52</v>
      </c>
      <c r="D94" s="8" t="str">
        <f t="shared" si="4"/>
        <v>Average Interest</v>
      </c>
      <c r="E94" s="8" t="str">
        <f t="shared" si="5"/>
        <v>Average Interest</v>
      </c>
      <c r="F94" s="4"/>
      <c r="G94" s="4"/>
      <c r="H94" s="4"/>
      <c r="I94" s="4"/>
      <c r="J94" s="4"/>
      <c r="K94" s="4"/>
    </row>
    <row r="95" spans="1:11" ht="15.75" x14ac:dyDescent="0.25">
      <c r="A95" s="7">
        <v>45630</v>
      </c>
      <c r="B95" s="8">
        <v>44</v>
      </c>
      <c r="C95" s="8">
        <v>49</v>
      </c>
      <c r="D95" s="8" t="str">
        <f t="shared" si="4"/>
        <v>Average Interest</v>
      </c>
      <c r="E95" s="8" t="str">
        <f t="shared" si="5"/>
        <v>Average Interest</v>
      </c>
      <c r="F95" s="4"/>
      <c r="G95" s="4"/>
      <c r="H95" s="4"/>
      <c r="I95" s="4"/>
      <c r="J95" s="4"/>
      <c r="K95" s="4"/>
    </row>
    <row r="96" spans="1:11" ht="15.75" x14ac:dyDescent="0.25">
      <c r="A96" s="4"/>
      <c r="B96" s="4"/>
      <c r="C96" s="4"/>
      <c r="D96" s="4"/>
      <c r="E96" s="4"/>
      <c r="F96" s="4"/>
      <c r="G96" s="4"/>
      <c r="H96" s="4"/>
      <c r="I96" s="4"/>
      <c r="J96" s="4"/>
      <c r="K96" s="4"/>
    </row>
    <row r="97" spans="1:11" ht="15.75" x14ac:dyDescent="0.25">
      <c r="A97" s="4"/>
      <c r="B97" s="4"/>
      <c r="C97" s="4"/>
      <c r="D97" s="4"/>
      <c r="E97" s="4"/>
      <c r="F97" s="4"/>
      <c r="G97" s="4"/>
      <c r="H97" s="4"/>
      <c r="I97" s="4"/>
      <c r="J97" s="4"/>
      <c r="K97" s="4"/>
    </row>
  </sheetData>
  <mergeCells count="2">
    <mergeCell ref="F4:G4"/>
    <mergeCell ref="F13:G13"/>
  </mergeCells>
  <conditionalFormatting sqref="D4:E95">
    <cfRule type="cellIs" dxfId="2" priority="1" operator="equal">
      <formula>"Average Interest"</formula>
    </cfRule>
    <cfRule type="cellIs" dxfId="1" priority="2" operator="equal">
      <formula>"High Interest"</formula>
    </cfRule>
    <cfRule type="cellIs" dxfId="0" priority="5" operator="equal">
      <formula>"Little Interest"</formula>
    </cfRule>
  </conditionalFormatting>
  <dataValidations disablePrompts="1" count="2">
    <dataValidation type="list" allowBlank="1" showInputMessage="1" showErrorMessage="1" sqref="G14" xr:uid="{CE94571E-311C-4B7E-92EC-99EBF1442D87}">
      <formula1>$B$3:$C$3</formula1>
    </dataValidation>
    <dataValidation type="list" allowBlank="1" showInputMessage="1" showErrorMessage="1" sqref="G15" xr:uid="{0E6BA5FC-B634-4E0F-95FF-58B3BF8DFB4C}">
      <formula1>$A$4:$A$95</formula1>
    </dataValidation>
  </dataValidations>
  <pageMargins left="0.7" right="0.7" top="0.75" bottom="0.75" header="0.3" footer="0.3"/>
  <pageSetup scale="66" orientation="landscape" r:id="rId1"/>
  <headerFooter>
    <oddHeader>&amp;C&amp;"-,Bold"&amp;12Jesse Xiong</oddHeader>
    <oddFooter>&amp;L&amp;"-,Bold"&amp;12Final Comprehensive Analysis: Ps5 vs Xbox&amp;C&amp;"-,Bold"&amp;12Jesse Xiong</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41307-7F06-45B3-8178-95BA557BEE9C}">
  <dimension ref="A1:Q104"/>
  <sheetViews>
    <sheetView view="pageBreakPreview" topLeftCell="A12" zoomScale="60" zoomScaleNormal="100" workbookViewId="0">
      <selection activeCell="D2" sqref="D2"/>
    </sheetView>
  </sheetViews>
  <sheetFormatPr defaultRowHeight="15" x14ac:dyDescent="0.25"/>
  <cols>
    <col min="1" max="1" width="12.140625" customWidth="1"/>
    <col min="2" max="2" width="18.28515625" bestFit="1" customWidth="1"/>
    <col min="3" max="3" width="20.5703125" bestFit="1" customWidth="1"/>
  </cols>
  <sheetData>
    <row r="1" spans="1:17" ht="15.75" x14ac:dyDescent="0.25">
      <c r="A1" s="4" t="s">
        <v>0</v>
      </c>
      <c r="B1" s="4"/>
      <c r="C1" s="4"/>
      <c r="D1" s="4"/>
      <c r="E1" s="4"/>
      <c r="F1" s="4"/>
      <c r="G1" s="4"/>
      <c r="H1" s="4"/>
      <c r="I1" s="4"/>
      <c r="J1" s="4"/>
      <c r="K1" s="4"/>
      <c r="L1" s="4"/>
      <c r="M1" s="4"/>
      <c r="N1" s="4"/>
      <c r="O1" s="4"/>
      <c r="P1" s="4"/>
      <c r="Q1" s="4"/>
    </row>
    <row r="2" spans="1:17" ht="15.75" x14ac:dyDescent="0.25">
      <c r="A2" s="4"/>
      <c r="B2" s="4"/>
      <c r="C2" s="4"/>
      <c r="D2" s="4"/>
      <c r="E2" s="4"/>
      <c r="F2" s="4"/>
      <c r="G2" s="4"/>
      <c r="H2" s="4"/>
      <c r="I2" s="4"/>
      <c r="J2" s="4"/>
      <c r="K2" s="4"/>
      <c r="L2" s="4"/>
      <c r="M2" s="4"/>
      <c r="N2" s="4"/>
      <c r="O2" s="4"/>
      <c r="P2" s="4"/>
      <c r="Q2" s="4"/>
    </row>
    <row r="3" spans="1:17" ht="15.75" x14ac:dyDescent="0.25">
      <c r="A3" s="6" t="s">
        <v>14</v>
      </c>
      <c r="B3" s="6" t="s">
        <v>1</v>
      </c>
      <c r="C3" s="6" t="s">
        <v>2</v>
      </c>
      <c r="D3" s="4"/>
      <c r="E3" s="4"/>
      <c r="F3" s="4"/>
      <c r="G3" s="4"/>
      <c r="H3" s="4"/>
      <c r="I3" s="4"/>
      <c r="J3" s="4"/>
      <c r="K3" s="4"/>
      <c r="L3" s="4"/>
      <c r="M3" s="4"/>
      <c r="N3" s="4"/>
      <c r="O3" s="4"/>
      <c r="P3" s="4"/>
      <c r="Q3" s="4"/>
    </row>
    <row r="4" spans="1:17" ht="15.75" x14ac:dyDescent="0.25">
      <c r="A4" s="7">
        <v>45539</v>
      </c>
      <c r="B4" s="8">
        <v>27</v>
      </c>
      <c r="C4" s="8">
        <v>39</v>
      </c>
      <c r="D4" s="4"/>
      <c r="E4" s="4"/>
      <c r="F4" s="4"/>
      <c r="G4" s="4"/>
      <c r="H4" s="4"/>
      <c r="I4" s="4"/>
      <c r="J4" s="4"/>
      <c r="K4" s="4"/>
      <c r="L4" s="4"/>
      <c r="M4" s="4"/>
      <c r="N4" s="4"/>
      <c r="O4" s="4"/>
      <c r="P4" s="4"/>
      <c r="Q4" s="4"/>
    </row>
    <row r="5" spans="1:17" ht="15.75" x14ac:dyDescent="0.25">
      <c r="A5" s="7">
        <v>45540</v>
      </c>
      <c r="B5" s="8">
        <v>28</v>
      </c>
      <c r="C5" s="8">
        <v>38</v>
      </c>
      <c r="D5" s="4"/>
      <c r="E5" s="4"/>
      <c r="F5" s="4"/>
      <c r="G5" s="4"/>
      <c r="H5" s="4"/>
      <c r="I5" s="4"/>
      <c r="J5" s="4"/>
      <c r="K5" s="4"/>
      <c r="L5" s="4"/>
      <c r="M5" s="4"/>
      <c r="N5" s="4"/>
      <c r="O5" s="4"/>
      <c r="P5" s="4"/>
      <c r="Q5" s="4"/>
    </row>
    <row r="6" spans="1:17" ht="15.75" x14ac:dyDescent="0.25">
      <c r="A6" s="7">
        <v>45541</v>
      </c>
      <c r="B6" s="8">
        <v>28</v>
      </c>
      <c r="C6" s="8">
        <v>37</v>
      </c>
      <c r="D6" s="4"/>
      <c r="E6" s="4"/>
      <c r="F6" s="4"/>
      <c r="G6" s="4"/>
      <c r="H6" s="4"/>
      <c r="I6" s="4"/>
      <c r="J6" s="4"/>
      <c r="K6" s="4"/>
      <c r="L6" s="4"/>
      <c r="M6" s="4"/>
      <c r="N6" s="4"/>
      <c r="O6" s="4"/>
      <c r="P6" s="4"/>
      <c r="Q6" s="4"/>
    </row>
    <row r="7" spans="1:17" ht="15.75" x14ac:dyDescent="0.25">
      <c r="A7" s="7">
        <v>45542</v>
      </c>
      <c r="B7" s="8">
        <v>37</v>
      </c>
      <c r="C7" s="8">
        <v>50</v>
      </c>
      <c r="D7" s="4"/>
      <c r="E7" s="4"/>
      <c r="F7" s="4"/>
      <c r="G7" s="4"/>
      <c r="H7" s="4"/>
      <c r="I7" s="4"/>
      <c r="J7" s="4"/>
      <c r="K7" s="4"/>
      <c r="L7" s="4"/>
      <c r="M7" s="4"/>
      <c r="N7" s="4"/>
      <c r="O7" s="4"/>
      <c r="P7" s="4"/>
      <c r="Q7" s="4"/>
    </row>
    <row r="8" spans="1:17" ht="15.75" x14ac:dyDescent="0.25">
      <c r="A8" s="7">
        <v>45543</v>
      </c>
      <c r="B8" s="8">
        <v>36</v>
      </c>
      <c r="C8" s="8">
        <v>51</v>
      </c>
      <c r="D8" s="4"/>
      <c r="E8" s="4"/>
      <c r="F8" s="4"/>
      <c r="G8" s="4"/>
      <c r="H8" s="4"/>
      <c r="I8" s="4"/>
      <c r="J8" s="4"/>
      <c r="K8" s="4"/>
      <c r="L8" s="4"/>
      <c r="M8" s="4"/>
      <c r="N8" s="4"/>
      <c r="O8" s="4"/>
      <c r="P8" s="4"/>
      <c r="Q8" s="4"/>
    </row>
    <row r="9" spans="1:17" ht="15.75" x14ac:dyDescent="0.25">
      <c r="A9" s="7">
        <v>45544</v>
      </c>
      <c r="B9" s="8">
        <v>29</v>
      </c>
      <c r="C9" s="8">
        <v>35</v>
      </c>
      <c r="D9" s="4"/>
      <c r="E9" s="4"/>
      <c r="F9" s="4"/>
      <c r="G9" s="4"/>
      <c r="H9" s="4"/>
      <c r="I9" s="4"/>
      <c r="J9" s="4"/>
      <c r="K9" s="4"/>
      <c r="L9" s="4"/>
      <c r="M9" s="4"/>
      <c r="N9" s="4"/>
      <c r="O9" s="4"/>
      <c r="P9" s="4"/>
      <c r="Q9" s="4"/>
    </row>
    <row r="10" spans="1:17" ht="15.75" x14ac:dyDescent="0.25">
      <c r="A10" s="7">
        <v>45545</v>
      </c>
      <c r="B10" s="8">
        <v>57</v>
      </c>
      <c r="C10" s="8">
        <v>36</v>
      </c>
      <c r="D10" s="4"/>
      <c r="E10" s="4"/>
      <c r="F10" s="4"/>
      <c r="G10" s="4"/>
      <c r="H10" s="4"/>
      <c r="I10" s="4"/>
      <c r="J10" s="4"/>
      <c r="K10" s="4"/>
      <c r="L10" s="4"/>
      <c r="M10" s="4"/>
      <c r="N10" s="4"/>
      <c r="O10" s="4"/>
      <c r="P10" s="4"/>
      <c r="Q10" s="4"/>
    </row>
    <row r="11" spans="1:17" ht="15.75" x14ac:dyDescent="0.25">
      <c r="A11" s="7">
        <v>45546</v>
      </c>
      <c r="B11" s="8">
        <v>46</v>
      </c>
      <c r="C11" s="8">
        <v>35</v>
      </c>
      <c r="D11" s="4"/>
      <c r="E11" s="4"/>
      <c r="F11" s="4"/>
      <c r="G11" s="4"/>
      <c r="H11" s="4"/>
      <c r="I11" s="4"/>
      <c r="J11" s="4"/>
      <c r="K11" s="4"/>
      <c r="L11" s="4"/>
      <c r="M11" s="4"/>
      <c r="N11" s="4"/>
      <c r="O11" s="4"/>
      <c r="P11" s="4"/>
      <c r="Q11" s="4"/>
    </row>
    <row r="12" spans="1:17" ht="15.75" x14ac:dyDescent="0.25">
      <c r="A12" s="7">
        <v>45547</v>
      </c>
      <c r="B12" s="8">
        <v>38</v>
      </c>
      <c r="C12" s="8">
        <v>36</v>
      </c>
      <c r="D12" s="4"/>
      <c r="E12" s="4"/>
      <c r="F12" s="4"/>
      <c r="G12" s="4"/>
      <c r="H12" s="4"/>
      <c r="I12" s="4"/>
      <c r="J12" s="4"/>
      <c r="K12" s="4"/>
      <c r="L12" s="4"/>
      <c r="M12" s="4"/>
      <c r="N12" s="4"/>
      <c r="O12" s="4"/>
      <c r="P12" s="4"/>
      <c r="Q12" s="4"/>
    </row>
    <row r="13" spans="1:17" ht="15.75" x14ac:dyDescent="0.25">
      <c r="A13" s="7">
        <v>45548</v>
      </c>
      <c r="B13" s="8">
        <v>33</v>
      </c>
      <c r="C13" s="8">
        <v>37</v>
      </c>
      <c r="D13" s="4"/>
      <c r="E13" s="4"/>
      <c r="F13" s="4"/>
      <c r="G13" s="4"/>
      <c r="H13" s="4"/>
      <c r="I13" s="4"/>
      <c r="J13" s="4"/>
      <c r="K13" s="4"/>
      <c r="L13" s="4"/>
      <c r="M13" s="4"/>
      <c r="N13" s="4"/>
      <c r="O13" s="4"/>
      <c r="P13" s="4"/>
      <c r="Q13" s="4"/>
    </row>
    <row r="14" spans="1:17" ht="15.75" x14ac:dyDescent="0.25">
      <c r="A14" s="7">
        <v>45549</v>
      </c>
      <c r="B14" s="8">
        <v>41</v>
      </c>
      <c r="C14" s="8">
        <v>49</v>
      </c>
      <c r="D14" s="4"/>
      <c r="E14" s="4"/>
      <c r="F14" s="4"/>
      <c r="G14" s="4"/>
      <c r="H14" s="4"/>
      <c r="I14" s="4"/>
      <c r="J14" s="4"/>
      <c r="K14" s="4"/>
      <c r="L14" s="4"/>
      <c r="M14" s="4"/>
      <c r="N14" s="4"/>
      <c r="O14" s="4"/>
      <c r="P14" s="4"/>
      <c r="Q14" s="4"/>
    </row>
    <row r="15" spans="1:17" ht="15.75" x14ac:dyDescent="0.25">
      <c r="A15" s="7">
        <v>45550</v>
      </c>
      <c r="B15" s="8">
        <v>38</v>
      </c>
      <c r="C15" s="8">
        <v>47</v>
      </c>
      <c r="D15" s="4"/>
      <c r="E15" s="4"/>
      <c r="F15" s="4"/>
      <c r="G15" s="4"/>
      <c r="H15" s="4"/>
      <c r="I15" s="4"/>
      <c r="J15" s="4"/>
      <c r="K15" s="4"/>
      <c r="L15" s="4"/>
      <c r="M15" s="4"/>
      <c r="N15" s="4"/>
      <c r="O15" s="4"/>
      <c r="P15" s="4"/>
      <c r="Q15" s="4"/>
    </row>
    <row r="16" spans="1:17" ht="15.75" x14ac:dyDescent="0.25">
      <c r="A16" s="7">
        <v>45551</v>
      </c>
      <c r="B16" s="8">
        <v>28</v>
      </c>
      <c r="C16" s="8">
        <v>34</v>
      </c>
      <c r="D16" s="4"/>
      <c r="E16" s="4"/>
      <c r="F16" s="4"/>
      <c r="G16" s="4"/>
      <c r="H16" s="4"/>
      <c r="I16" s="4"/>
      <c r="J16" s="4"/>
      <c r="K16" s="4"/>
      <c r="L16" s="4"/>
      <c r="M16" s="4"/>
      <c r="N16" s="4"/>
      <c r="O16" s="4"/>
      <c r="P16" s="4"/>
      <c r="Q16" s="4"/>
    </row>
    <row r="17" spans="1:17" ht="15.75" x14ac:dyDescent="0.25">
      <c r="A17" s="7">
        <v>45552</v>
      </c>
      <c r="B17" s="8">
        <v>27</v>
      </c>
      <c r="C17" s="8">
        <v>35</v>
      </c>
      <c r="D17" s="4"/>
      <c r="E17" s="4"/>
      <c r="F17" s="4"/>
      <c r="G17" s="4"/>
      <c r="H17" s="4"/>
      <c r="I17" s="4"/>
      <c r="J17" s="4"/>
      <c r="K17" s="4"/>
      <c r="L17" s="4"/>
      <c r="M17" s="4"/>
      <c r="N17" s="4"/>
      <c r="O17" s="4"/>
      <c r="P17" s="4"/>
      <c r="Q17" s="4"/>
    </row>
    <row r="18" spans="1:17" ht="15.75" x14ac:dyDescent="0.25">
      <c r="A18" s="7">
        <v>45553</v>
      </c>
      <c r="B18" s="8">
        <v>26</v>
      </c>
      <c r="C18" s="8">
        <v>35</v>
      </c>
      <c r="D18" s="4"/>
      <c r="E18" s="4"/>
      <c r="F18" s="4"/>
      <c r="G18" s="4"/>
      <c r="H18" s="4"/>
      <c r="I18" s="4"/>
      <c r="J18" s="4"/>
      <c r="K18" s="4"/>
      <c r="L18" s="4"/>
      <c r="M18" s="4"/>
      <c r="N18" s="4"/>
      <c r="O18" s="4"/>
      <c r="P18" s="4"/>
      <c r="Q18" s="4"/>
    </row>
    <row r="19" spans="1:17" ht="15.75" x14ac:dyDescent="0.25">
      <c r="A19" s="7">
        <v>45554</v>
      </c>
      <c r="B19" s="8">
        <v>31</v>
      </c>
      <c r="C19" s="8">
        <v>35</v>
      </c>
      <c r="D19" s="4"/>
      <c r="E19" s="4"/>
      <c r="F19" s="4"/>
      <c r="G19" s="4"/>
      <c r="H19" s="4"/>
      <c r="I19" s="4"/>
      <c r="J19" s="4"/>
      <c r="K19" s="4"/>
      <c r="L19" s="4"/>
      <c r="M19" s="4"/>
      <c r="N19" s="4"/>
      <c r="O19" s="4"/>
      <c r="P19" s="4"/>
      <c r="Q19" s="4"/>
    </row>
    <row r="20" spans="1:17" ht="15.75" x14ac:dyDescent="0.25">
      <c r="A20" s="7">
        <v>45555</v>
      </c>
      <c r="B20" s="8">
        <v>36</v>
      </c>
      <c r="C20" s="8">
        <v>37</v>
      </c>
      <c r="D20" s="4"/>
      <c r="E20" s="4"/>
      <c r="F20" s="4"/>
      <c r="G20" s="4"/>
      <c r="H20" s="4"/>
      <c r="I20" s="4"/>
      <c r="J20" s="4"/>
      <c r="K20" s="4"/>
      <c r="L20" s="4"/>
      <c r="M20" s="4"/>
      <c r="N20" s="4"/>
      <c r="O20" s="4"/>
      <c r="P20" s="4"/>
      <c r="Q20" s="4"/>
    </row>
    <row r="21" spans="1:17" ht="15.75" x14ac:dyDescent="0.25">
      <c r="A21" s="7">
        <v>45556</v>
      </c>
      <c r="B21" s="8">
        <v>42</v>
      </c>
      <c r="C21" s="8">
        <v>51</v>
      </c>
      <c r="D21" s="4"/>
      <c r="E21" s="4"/>
      <c r="F21" s="4"/>
      <c r="G21" s="4"/>
      <c r="H21" s="4"/>
      <c r="I21" s="4"/>
      <c r="J21" s="4"/>
      <c r="K21" s="4"/>
      <c r="L21" s="4"/>
      <c r="M21" s="4"/>
      <c r="N21" s="4"/>
      <c r="O21" s="4"/>
      <c r="P21" s="4"/>
      <c r="Q21" s="4"/>
    </row>
    <row r="22" spans="1:17" ht="15.75" x14ac:dyDescent="0.25">
      <c r="A22" s="7">
        <v>45557</v>
      </c>
      <c r="B22" s="8">
        <v>39</v>
      </c>
      <c r="C22" s="8">
        <v>47</v>
      </c>
      <c r="D22" s="4"/>
      <c r="E22" s="4"/>
      <c r="F22" s="4"/>
      <c r="G22" s="4"/>
      <c r="H22" s="4"/>
      <c r="I22" s="4"/>
      <c r="J22" s="4"/>
      <c r="K22" s="4"/>
      <c r="L22" s="4"/>
      <c r="M22" s="4"/>
      <c r="N22" s="4"/>
      <c r="O22" s="4"/>
      <c r="P22" s="4"/>
      <c r="Q22" s="4"/>
    </row>
    <row r="23" spans="1:17" ht="15.75" x14ac:dyDescent="0.25">
      <c r="A23" s="7">
        <v>45558</v>
      </c>
      <c r="B23" s="8">
        <v>29</v>
      </c>
      <c r="C23" s="8">
        <v>34</v>
      </c>
      <c r="D23" s="4"/>
      <c r="E23" s="4"/>
      <c r="F23" s="4"/>
      <c r="G23" s="4"/>
      <c r="H23" s="4"/>
      <c r="I23" s="4"/>
      <c r="J23" s="4"/>
      <c r="K23" s="4"/>
      <c r="L23" s="4"/>
      <c r="M23" s="4"/>
      <c r="N23" s="4"/>
      <c r="O23" s="4"/>
      <c r="P23" s="4"/>
      <c r="Q23" s="4"/>
    </row>
    <row r="24" spans="1:17" ht="15.75" x14ac:dyDescent="0.25">
      <c r="A24" s="7">
        <v>45559</v>
      </c>
      <c r="B24" s="8">
        <v>29</v>
      </c>
      <c r="C24" s="8">
        <v>33</v>
      </c>
      <c r="D24" s="4"/>
      <c r="E24" s="4"/>
      <c r="F24" s="4"/>
      <c r="G24" s="4"/>
      <c r="H24" s="4"/>
      <c r="I24" s="4"/>
      <c r="J24" s="4"/>
      <c r="K24" s="4"/>
      <c r="L24" s="4"/>
      <c r="M24" s="4"/>
      <c r="N24" s="4"/>
      <c r="O24" s="4"/>
      <c r="P24" s="4"/>
      <c r="Q24" s="4"/>
    </row>
    <row r="25" spans="1:17" ht="15.75" x14ac:dyDescent="0.25">
      <c r="A25" s="7">
        <v>45560</v>
      </c>
      <c r="B25" s="8">
        <v>34</v>
      </c>
      <c r="C25" s="8">
        <v>33</v>
      </c>
      <c r="D25" s="4"/>
      <c r="E25" s="4"/>
      <c r="F25" s="4"/>
      <c r="G25" s="4"/>
      <c r="H25" s="4"/>
      <c r="I25" s="4"/>
      <c r="J25" s="4"/>
      <c r="K25" s="4"/>
      <c r="L25" s="4"/>
      <c r="M25" s="4"/>
      <c r="N25" s="4"/>
      <c r="O25" s="4"/>
      <c r="P25" s="4"/>
      <c r="Q25" s="4"/>
    </row>
    <row r="26" spans="1:17" ht="15.75" x14ac:dyDescent="0.25">
      <c r="A26" s="7">
        <v>45561</v>
      </c>
      <c r="B26" s="8">
        <v>51</v>
      </c>
      <c r="C26" s="8">
        <v>35</v>
      </c>
      <c r="D26" s="4"/>
      <c r="E26" s="4"/>
      <c r="F26" s="4"/>
      <c r="G26" s="4"/>
      <c r="H26" s="4"/>
      <c r="I26" s="4"/>
      <c r="J26" s="4"/>
      <c r="K26" s="4"/>
      <c r="L26" s="4"/>
      <c r="M26" s="4"/>
      <c r="N26" s="4"/>
      <c r="O26" s="4"/>
      <c r="P26" s="4"/>
      <c r="Q26" s="4"/>
    </row>
    <row r="27" spans="1:17" ht="15.75" x14ac:dyDescent="0.25">
      <c r="A27" s="7">
        <v>45562</v>
      </c>
      <c r="B27" s="8">
        <v>35</v>
      </c>
      <c r="C27" s="8">
        <v>36</v>
      </c>
      <c r="D27" s="4"/>
      <c r="E27" s="4"/>
      <c r="F27" s="4"/>
      <c r="G27" s="4"/>
      <c r="H27" s="4"/>
      <c r="I27" s="4"/>
      <c r="J27" s="4"/>
      <c r="K27" s="4"/>
      <c r="L27" s="4"/>
      <c r="M27" s="4"/>
      <c r="N27" s="4"/>
      <c r="O27" s="4"/>
      <c r="P27" s="4"/>
      <c r="Q27" s="4"/>
    </row>
    <row r="28" spans="1:17" ht="15.75" x14ac:dyDescent="0.25">
      <c r="A28" s="7">
        <v>45563</v>
      </c>
      <c r="B28" s="8">
        <v>39</v>
      </c>
      <c r="C28" s="8">
        <v>45</v>
      </c>
      <c r="D28" s="4"/>
      <c r="E28" s="4"/>
      <c r="F28" s="4"/>
      <c r="G28" s="4"/>
      <c r="H28" s="4"/>
      <c r="I28" s="4"/>
      <c r="J28" s="4"/>
      <c r="K28" s="4"/>
      <c r="L28" s="4"/>
      <c r="M28" s="4"/>
      <c r="N28" s="4"/>
      <c r="O28" s="4"/>
      <c r="P28" s="4"/>
      <c r="Q28" s="4"/>
    </row>
    <row r="29" spans="1:17" ht="15.75" x14ac:dyDescent="0.25">
      <c r="A29" s="7">
        <v>45564</v>
      </c>
      <c r="B29" s="8">
        <v>37</v>
      </c>
      <c r="C29" s="8">
        <v>45</v>
      </c>
      <c r="D29" s="4"/>
      <c r="E29" s="4"/>
      <c r="F29" s="4"/>
      <c r="G29" s="4"/>
      <c r="H29" s="4"/>
      <c r="I29" s="4"/>
      <c r="J29" s="4"/>
      <c r="K29" s="4"/>
      <c r="L29" s="4"/>
      <c r="M29" s="4"/>
      <c r="N29" s="4"/>
      <c r="O29" s="4"/>
      <c r="P29" s="4"/>
      <c r="Q29" s="4"/>
    </row>
    <row r="30" spans="1:17" ht="15.75" x14ac:dyDescent="0.25">
      <c r="A30" s="7">
        <v>45565</v>
      </c>
      <c r="B30" s="8">
        <v>28</v>
      </c>
      <c r="C30" s="8">
        <v>33</v>
      </c>
      <c r="D30" s="4"/>
      <c r="E30" s="4"/>
      <c r="F30" s="4" t="s">
        <v>29</v>
      </c>
      <c r="G30" s="4"/>
      <c r="H30" s="4"/>
      <c r="I30" s="4"/>
      <c r="J30" s="4"/>
      <c r="K30" s="4"/>
      <c r="L30" s="4"/>
      <c r="M30" s="4"/>
      <c r="N30" s="4"/>
      <c r="O30" s="4"/>
      <c r="P30" s="4"/>
      <c r="Q30" s="4"/>
    </row>
    <row r="31" spans="1:17" ht="15.75" x14ac:dyDescent="0.25">
      <c r="A31" s="7">
        <v>45566</v>
      </c>
      <c r="B31" s="8">
        <v>40</v>
      </c>
      <c r="C31" s="8">
        <v>35</v>
      </c>
      <c r="D31" s="4"/>
      <c r="E31" s="4"/>
      <c r="F31" s="4"/>
      <c r="G31" s="4"/>
      <c r="H31" s="4"/>
      <c r="I31" s="4"/>
      <c r="J31" s="4"/>
      <c r="K31" s="4"/>
      <c r="L31" s="4"/>
      <c r="M31" s="4"/>
      <c r="N31" s="4"/>
      <c r="O31" s="4"/>
      <c r="P31" s="4"/>
      <c r="Q31" s="4"/>
    </row>
    <row r="32" spans="1:17" ht="15.75" x14ac:dyDescent="0.25">
      <c r="A32" s="7">
        <v>45567</v>
      </c>
      <c r="B32" s="8">
        <v>27</v>
      </c>
      <c r="C32" s="8">
        <v>37</v>
      </c>
      <c r="D32" s="4"/>
      <c r="E32" s="4"/>
      <c r="F32" s="4"/>
      <c r="G32" s="4"/>
      <c r="H32" s="4"/>
      <c r="I32" s="4"/>
      <c r="J32" s="4"/>
      <c r="K32" s="4"/>
      <c r="L32" s="4"/>
      <c r="M32" s="4"/>
      <c r="N32" s="4"/>
      <c r="O32" s="4"/>
      <c r="P32" s="4"/>
      <c r="Q32" s="4"/>
    </row>
    <row r="33" spans="1:17" ht="15.75" x14ac:dyDescent="0.25">
      <c r="A33" s="7">
        <v>45568</v>
      </c>
      <c r="B33" s="8">
        <v>27</v>
      </c>
      <c r="C33" s="8">
        <v>33</v>
      </c>
      <c r="D33" s="4"/>
      <c r="E33" s="4"/>
      <c r="F33" s="4"/>
      <c r="G33" s="4"/>
      <c r="H33" s="4"/>
      <c r="I33" s="4"/>
      <c r="J33" s="4"/>
      <c r="K33" s="4"/>
      <c r="L33" s="4"/>
      <c r="M33" s="4"/>
      <c r="N33" s="4"/>
      <c r="O33" s="4"/>
      <c r="P33" s="4"/>
      <c r="Q33" s="4"/>
    </row>
    <row r="34" spans="1:17" ht="15.75" x14ac:dyDescent="0.25">
      <c r="A34" s="7">
        <v>45569</v>
      </c>
      <c r="B34" s="8">
        <v>29</v>
      </c>
      <c r="C34" s="8">
        <v>36</v>
      </c>
      <c r="D34" s="4"/>
      <c r="E34" s="4"/>
      <c r="F34" s="4"/>
      <c r="G34" s="4"/>
      <c r="H34" s="4"/>
      <c r="I34" s="4"/>
      <c r="J34" s="4"/>
      <c r="K34" s="4"/>
      <c r="L34" s="4"/>
      <c r="M34" s="4"/>
      <c r="N34" s="4"/>
      <c r="O34" s="4"/>
      <c r="P34" s="4"/>
      <c r="Q34" s="4"/>
    </row>
    <row r="35" spans="1:17" ht="15.75" x14ac:dyDescent="0.25">
      <c r="A35" s="7">
        <v>45570</v>
      </c>
      <c r="B35" s="8">
        <v>36</v>
      </c>
      <c r="C35" s="8">
        <v>46</v>
      </c>
      <c r="D35" s="4"/>
      <c r="E35" s="4"/>
      <c r="F35" s="4"/>
      <c r="G35" s="4"/>
      <c r="H35" s="4"/>
      <c r="I35" s="4"/>
      <c r="J35" s="4"/>
      <c r="K35" s="4"/>
      <c r="L35" s="4"/>
      <c r="M35" s="4"/>
      <c r="N35" s="4"/>
      <c r="O35" s="4"/>
      <c r="P35" s="4"/>
      <c r="Q35" s="4"/>
    </row>
    <row r="36" spans="1:17" ht="15.75" x14ac:dyDescent="0.25">
      <c r="A36" s="7">
        <v>45571</v>
      </c>
      <c r="B36" s="8">
        <v>38</v>
      </c>
      <c r="C36" s="8">
        <v>46</v>
      </c>
      <c r="D36" s="4"/>
      <c r="E36" s="4"/>
      <c r="F36" s="4"/>
      <c r="G36" s="4"/>
      <c r="H36" s="4"/>
      <c r="I36" s="4"/>
      <c r="J36" s="4"/>
      <c r="K36" s="4"/>
      <c r="L36" s="4"/>
      <c r="M36" s="4"/>
      <c r="N36" s="4"/>
      <c r="O36" s="4"/>
      <c r="P36" s="4"/>
      <c r="Q36" s="4"/>
    </row>
    <row r="37" spans="1:17" ht="15.75" x14ac:dyDescent="0.25">
      <c r="A37" s="7">
        <v>45572</v>
      </c>
      <c r="B37" s="8">
        <v>28</v>
      </c>
      <c r="C37" s="8">
        <v>35</v>
      </c>
      <c r="D37" s="4"/>
      <c r="E37" s="4"/>
      <c r="F37" s="4"/>
      <c r="G37" s="4"/>
      <c r="H37" s="4"/>
      <c r="I37" s="4"/>
      <c r="J37" s="4"/>
      <c r="K37" s="4"/>
      <c r="L37" s="4"/>
      <c r="M37" s="4"/>
      <c r="N37" s="4"/>
      <c r="O37" s="4"/>
      <c r="P37" s="4"/>
      <c r="Q37" s="4"/>
    </row>
    <row r="38" spans="1:17" ht="15.75" x14ac:dyDescent="0.25">
      <c r="A38" s="7">
        <v>45573</v>
      </c>
      <c r="B38" s="8">
        <v>30</v>
      </c>
      <c r="C38" s="8">
        <v>37</v>
      </c>
      <c r="D38" s="4"/>
      <c r="E38" s="4"/>
      <c r="F38" s="4"/>
      <c r="G38" s="4"/>
      <c r="H38" s="4"/>
      <c r="I38" s="4"/>
      <c r="J38" s="4"/>
      <c r="K38" s="4"/>
      <c r="L38" s="4"/>
      <c r="M38" s="4"/>
      <c r="N38" s="4"/>
      <c r="O38" s="4"/>
      <c r="P38" s="4"/>
      <c r="Q38" s="4"/>
    </row>
    <row r="39" spans="1:17" ht="15.75" x14ac:dyDescent="0.25">
      <c r="A39" s="7">
        <v>45574</v>
      </c>
      <c r="B39" s="8">
        <v>30</v>
      </c>
      <c r="C39" s="8">
        <v>38</v>
      </c>
      <c r="D39" s="4"/>
      <c r="E39" s="4"/>
      <c r="F39" s="4"/>
      <c r="G39" s="4"/>
      <c r="H39" s="4"/>
      <c r="I39" s="4"/>
      <c r="J39" s="4"/>
      <c r="K39" s="4"/>
      <c r="L39" s="4"/>
      <c r="M39" s="4"/>
      <c r="N39" s="4"/>
      <c r="O39" s="4"/>
      <c r="P39" s="4"/>
      <c r="Q39" s="4"/>
    </row>
    <row r="40" spans="1:17" ht="15.75" x14ac:dyDescent="0.25">
      <c r="A40" s="7">
        <v>45575</v>
      </c>
      <c r="B40" s="8">
        <v>33</v>
      </c>
      <c r="C40" s="8">
        <v>35</v>
      </c>
      <c r="D40" s="4"/>
      <c r="E40" s="4"/>
      <c r="F40" s="4"/>
      <c r="G40" s="4"/>
      <c r="H40" s="4"/>
      <c r="I40" s="4"/>
      <c r="J40" s="4"/>
      <c r="K40" s="4"/>
      <c r="L40" s="4"/>
      <c r="M40" s="4"/>
      <c r="N40" s="4"/>
      <c r="O40" s="4"/>
      <c r="P40" s="4"/>
      <c r="Q40" s="4"/>
    </row>
    <row r="41" spans="1:17" ht="15.75" x14ac:dyDescent="0.25">
      <c r="A41" s="7">
        <v>45576</v>
      </c>
      <c r="B41" s="8">
        <v>32</v>
      </c>
      <c r="C41" s="8">
        <v>39</v>
      </c>
      <c r="D41" s="4"/>
      <c r="E41" s="4"/>
      <c r="F41" s="4"/>
      <c r="G41" s="4"/>
      <c r="H41" s="4"/>
      <c r="I41" s="4"/>
      <c r="J41" s="4"/>
      <c r="K41" s="4"/>
      <c r="L41" s="4"/>
      <c r="M41" s="4"/>
      <c r="N41" s="4"/>
      <c r="O41" s="4"/>
      <c r="P41" s="4"/>
      <c r="Q41" s="4"/>
    </row>
    <row r="42" spans="1:17" ht="15.75" x14ac:dyDescent="0.25">
      <c r="A42" s="7">
        <v>45577</v>
      </c>
      <c r="B42" s="8">
        <v>40</v>
      </c>
      <c r="C42" s="8">
        <v>50</v>
      </c>
      <c r="D42" s="4"/>
      <c r="E42" s="4"/>
      <c r="F42" s="4"/>
      <c r="G42" s="4"/>
      <c r="H42" s="4"/>
      <c r="I42" s="4"/>
      <c r="J42" s="4"/>
      <c r="K42" s="4"/>
      <c r="L42" s="4"/>
      <c r="M42" s="4"/>
      <c r="N42" s="4"/>
      <c r="O42" s="4"/>
      <c r="P42" s="4"/>
      <c r="Q42" s="4"/>
    </row>
    <row r="43" spans="1:17" ht="15.75" x14ac:dyDescent="0.25">
      <c r="A43" s="7">
        <v>45578</v>
      </c>
      <c r="B43" s="8">
        <v>38</v>
      </c>
      <c r="C43" s="8">
        <v>47</v>
      </c>
      <c r="D43" s="4"/>
      <c r="E43" s="4"/>
      <c r="F43" s="4"/>
      <c r="G43" s="4"/>
      <c r="H43" s="4"/>
      <c r="I43" s="4"/>
      <c r="J43" s="4"/>
      <c r="K43" s="4"/>
      <c r="L43" s="4"/>
      <c r="M43" s="4"/>
      <c r="N43" s="4"/>
      <c r="O43" s="4"/>
      <c r="P43" s="4"/>
      <c r="Q43" s="4"/>
    </row>
    <row r="44" spans="1:17" ht="15.75" x14ac:dyDescent="0.25">
      <c r="A44" s="7">
        <v>45579</v>
      </c>
      <c r="B44" s="8">
        <v>30</v>
      </c>
      <c r="C44" s="8">
        <v>39</v>
      </c>
      <c r="D44" s="4"/>
      <c r="E44" s="4"/>
      <c r="F44" s="4"/>
      <c r="G44" s="4"/>
      <c r="H44" s="4"/>
      <c r="I44" s="4"/>
      <c r="J44" s="4"/>
      <c r="K44" s="4"/>
      <c r="L44" s="4"/>
      <c r="M44" s="4"/>
      <c r="N44" s="4"/>
      <c r="O44" s="4"/>
      <c r="P44" s="4"/>
      <c r="Q44" s="4"/>
    </row>
    <row r="45" spans="1:17" ht="15.75" x14ac:dyDescent="0.25">
      <c r="A45" s="7">
        <v>45580</v>
      </c>
      <c r="B45" s="8">
        <v>27</v>
      </c>
      <c r="C45" s="8">
        <v>38</v>
      </c>
      <c r="D45" s="4"/>
      <c r="E45" s="4"/>
      <c r="F45" s="4"/>
      <c r="G45" s="4"/>
      <c r="H45" s="4"/>
      <c r="I45" s="4"/>
      <c r="J45" s="4"/>
      <c r="K45" s="4"/>
      <c r="L45" s="4"/>
      <c r="M45" s="4"/>
      <c r="N45" s="4"/>
      <c r="O45" s="4"/>
      <c r="P45" s="4"/>
      <c r="Q45" s="4"/>
    </row>
    <row r="46" spans="1:17" ht="15.75" x14ac:dyDescent="0.25">
      <c r="A46" s="7">
        <v>45581</v>
      </c>
      <c r="B46" s="8">
        <v>26</v>
      </c>
      <c r="C46" s="8">
        <v>35</v>
      </c>
      <c r="D46" s="4"/>
      <c r="E46" s="4"/>
      <c r="F46" s="4"/>
      <c r="G46" s="4"/>
      <c r="H46" s="4"/>
      <c r="I46" s="4"/>
      <c r="J46" s="4"/>
      <c r="K46" s="4"/>
      <c r="L46" s="4"/>
      <c r="M46" s="4"/>
      <c r="N46" s="4"/>
      <c r="O46" s="4"/>
      <c r="P46" s="4"/>
      <c r="Q46" s="4"/>
    </row>
    <row r="47" spans="1:17" ht="15.75" x14ac:dyDescent="0.25">
      <c r="A47" s="7">
        <v>45582</v>
      </c>
      <c r="B47" s="8">
        <v>26</v>
      </c>
      <c r="C47" s="8">
        <v>36</v>
      </c>
      <c r="D47" s="4"/>
      <c r="E47" s="4"/>
      <c r="F47" s="4"/>
      <c r="G47" s="4"/>
      <c r="H47" s="4"/>
      <c r="I47" s="4"/>
      <c r="J47" s="4"/>
      <c r="K47" s="4"/>
      <c r="L47" s="4"/>
      <c r="M47" s="4"/>
      <c r="N47" s="4"/>
      <c r="O47" s="4"/>
      <c r="P47" s="4"/>
      <c r="Q47" s="4"/>
    </row>
    <row r="48" spans="1:17" ht="15.75" x14ac:dyDescent="0.25">
      <c r="A48" s="7">
        <v>45583</v>
      </c>
      <c r="B48" s="8">
        <v>29</v>
      </c>
      <c r="C48" s="8">
        <v>36</v>
      </c>
      <c r="D48" s="4"/>
      <c r="E48" s="4"/>
      <c r="F48" s="4"/>
      <c r="G48" s="4"/>
      <c r="H48" s="4"/>
      <c r="I48" s="4"/>
      <c r="J48" s="4"/>
      <c r="K48" s="4"/>
      <c r="L48" s="4"/>
      <c r="M48" s="4"/>
      <c r="N48" s="4"/>
      <c r="O48" s="4"/>
      <c r="P48" s="4"/>
      <c r="Q48" s="4"/>
    </row>
    <row r="49" spans="1:17" ht="15.75" x14ac:dyDescent="0.25">
      <c r="A49" s="7">
        <v>45584</v>
      </c>
      <c r="B49" s="8">
        <v>36</v>
      </c>
      <c r="C49" s="8">
        <v>47</v>
      </c>
      <c r="D49" s="4"/>
      <c r="E49" s="4"/>
      <c r="F49" s="4"/>
      <c r="G49" s="4"/>
      <c r="H49" s="4"/>
      <c r="I49" s="4"/>
      <c r="J49" s="4"/>
      <c r="K49" s="4"/>
      <c r="L49" s="4"/>
      <c r="M49" s="4"/>
      <c r="N49" s="4"/>
      <c r="O49" s="4"/>
      <c r="P49" s="4"/>
      <c r="Q49" s="4"/>
    </row>
    <row r="50" spans="1:17" ht="15.75" x14ac:dyDescent="0.25">
      <c r="A50" s="7">
        <v>45585</v>
      </c>
      <c r="B50" s="8">
        <v>36</v>
      </c>
      <c r="C50" s="8">
        <v>46</v>
      </c>
      <c r="D50" s="4"/>
      <c r="E50" s="4"/>
      <c r="F50" s="4"/>
      <c r="G50" s="4"/>
      <c r="H50" s="4"/>
      <c r="I50" s="4"/>
      <c r="J50" s="4"/>
      <c r="K50" s="4"/>
      <c r="L50" s="4"/>
      <c r="M50" s="4"/>
      <c r="N50" s="4"/>
      <c r="O50" s="4"/>
      <c r="P50" s="4"/>
      <c r="Q50" s="4"/>
    </row>
    <row r="51" spans="1:17" ht="15.75" x14ac:dyDescent="0.25">
      <c r="A51" s="7">
        <v>45586</v>
      </c>
      <c r="B51" s="8">
        <v>27</v>
      </c>
      <c r="C51" s="8">
        <v>34</v>
      </c>
      <c r="D51" s="4"/>
      <c r="E51" s="4"/>
      <c r="F51" s="4"/>
      <c r="G51" s="4"/>
      <c r="H51" s="4"/>
      <c r="I51" s="4"/>
      <c r="J51" s="4"/>
      <c r="K51" s="4"/>
      <c r="L51" s="4"/>
      <c r="M51" s="4"/>
      <c r="N51" s="4"/>
      <c r="O51" s="4"/>
      <c r="P51" s="4"/>
      <c r="Q51" s="4"/>
    </row>
    <row r="52" spans="1:17" ht="15.75" x14ac:dyDescent="0.25">
      <c r="A52" s="7">
        <v>45587</v>
      </c>
      <c r="B52" s="8">
        <v>26</v>
      </c>
      <c r="C52" s="8">
        <v>35</v>
      </c>
      <c r="D52" s="4"/>
      <c r="E52" s="4"/>
      <c r="F52" s="4"/>
      <c r="G52" s="4"/>
      <c r="H52" s="4"/>
      <c r="I52" s="4"/>
      <c r="J52" s="4"/>
      <c r="K52" s="4"/>
      <c r="L52" s="4"/>
      <c r="M52" s="4"/>
      <c r="N52" s="4"/>
      <c r="O52" s="4"/>
      <c r="P52" s="4"/>
      <c r="Q52" s="4"/>
    </row>
    <row r="53" spans="1:17" ht="15.75" x14ac:dyDescent="0.25">
      <c r="A53" s="7">
        <v>45588</v>
      </c>
      <c r="B53" s="8">
        <v>28</v>
      </c>
      <c r="C53" s="8">
        <v>34</v>
      </c>
      <c r="D53" s="4"/>
      <c r="E53" s="4"/>
      <c r="F53" s="4"/>
      <c r="G53" s="4"/>
      <c r="H53" s="4"/>
      <c r="I53" s="4"/>
      <c r="J53" s="4"/>
      <c r="K53" s="4"/>
      <c r="L53" s="4"/>
      <c r="M53" s="4"/>
      <c r="N53" s="4"/>
      <c r="O53" s="4"/>
      <c r="P53" s="4"/>
      <c r="Q53" s="4"/>
    </row>
    <row r="54" spans="1:17" ht="15.75" x14ac:dyDescent="0.25">
      <c r="A54" s="7">
        <v>45589</v>
      </c>
      <c r="B54" s="8">
        <v>30</v>
      </c>
      <c r="C54" s="8">
        <v>41</v>
      </c>
      <c r="D54" s="4"/>
      <c r="E54" s="4"/>
      <c r="F54" s="4"/>
      <c r="G54" s="4"/>
      <c r="H54" s="4"/>
      <c r="I54" s="4"/>
      <c r="J54" s="4"/>
      <c r="K54" s="4"/>
      <c r="L54" s="4"/>
      <c r="M54" s="4"/>
      <c r="N54" s="4"/>
      <c r="O54" s="4"/>
      <c r="P54" s="4"/>
      <c r="Q54" s="4"/>
    </row>
    <row r="55" spans="1:17" ht="15.75" x14ac:dyDescent="0.25">
      <c r="A55" s="7">
        <v>45590</v>
      </c>
      <c r="B55" s="8">
        <v>32</v>
      </c>
      <c r="C55" s="8">
        <v>46</v>
      </c>
      <c r="D55" s="4"/>
      <c r="E55" s="4"/>
      <c r="F55" s="4"/>
      <c r="G55" s="4"/>
      <c r="H55" s="4"/>
      <c r="I55" s="4"/>
      <c r="J55" s="4"/>
      <c r="K55" s="4"/>
      <c r="L55" s="4"/>
      <c r="M55" s="4"/>
      <c r="N55" s="4"/>
      <c r="O55" s="4"/>
      <c r="P55" s="4"/>
      <c r="Q55" s="4"/>
    </row>
    <row r="56" spans="1:17" ht="15.75" x14ac:dyDescent="0.25">
      <c r="A56" s="7">
        <v>45591</v>
      </c>
      <c r="B56" s="8">
        <v>39</v>
      </c>
      <c r="C56" s="8">
        <v>54</v>
      </c>
      <c r="D56" s="4"/>
      <c r="E56" s="4"/>
      <c r="F56" s="4"/>
      <c r="G56" s="4"/>
      <c r="H56" s="4"/>
      <c r="I56" s="4"/>
      <c r="J56" s="4"/>
      <c r="K56" s="4"/>
      <c r="L56" s="4"/>
      <c r="M56" s="4"/>
      <c r="N56" s="4"/>
      <c r="O56" s="4"/>
      <c r="P56" s="4"/>
      <c r="Q56" s="4"/>
    </row>
    <row r="57" spans="1:17" ht="15.75" x14ac:dyDescent="0.25">
      <c r="A57" s="7">
        <v>45592</v>
      </c>
      <c r="B57" s="8">
        <v>40</v>
      </c>
      <c r="C57" s="8">
        <v>54</v>
      </c>
      <c r="D57" s="4"/>
      <c r="E57" s="4"/>
      <c r="F57" s="4"/>
      <c r="G57" s="4"/>
      <c r="H57" s="4"/>
      <c r="I57" s="4"/>
      <c r="J57" s="3" t="s">
        <v>51</v>
      </c>
      <c r="K57" s="3"/>
      <c r="L57" s="3"/>
      <c r="M57" s="3"/>
      <c r="N57" s="3"/>
      <c r="O57" s="4"/>
      <c r="P57" s="4"/>
      <c r="Q57" s="4"/>
    </row>
    <row r="58" spans="1:17" ht="15.75" x14ac:dyDescent="0.25">
      <c r="A58" s="7">
        <v>45593</v>
      </c>
      <c r="B58" s="8">
        <v>27</v>
      </c>
      <c r="C58" s="8">
        <v>40</v>
      </c>
      <c r="D58" s="4"/>
      <c r="E58" s="4"/>
      <c r="F58" s="4"/>
      <c r="G58" s="4"/>
      <c r="H58" s="4"/>
      <c r="I58" s="4"/>
      <c r="J58" s="4"/>
      <c r="K58" s="4"/>
      <c r="L58" s="4"/>
      <c r="M58" s="4"/>
      <c r="N58" s="4"/>
      <c r="O58" s="4"/>
      <c r="P58" s="4"/>
      <c r="Q58" s="4"/>
    </row>
    <row r="59" spans="1:17" ht="15.75" x14ac:dyDescent="0.25">
      <c r="A59" s="7">
        <v>45594</v>
      </c>
      <c r="B59" s="8">
        <v>29</v>
      </c>
      <c r="C59" s="8">
        <v>36</v>
      </c>
      <c r="D59" s="4"/>
      <c r="E59" s="4"/>
      <c r="F59" s="4"/>
      <c r="G59" s="4"/>
      <c r="H59" s="4"/>
      <c r="I59" s="4"/>
      <c r="J59" s="4"/>
      <c r="K59" s="4"/>
      <c r="L59" s="4"/>
      <c r="M59" s="4"/>
      <c r="N59" s="4"/>
      <c r="O59" s="4"/>
      <c r="P59" s="4"/>
      <c r="Q59" s="4"/>
    </row>
    <row r="60" spans="1:17" ht="15.75" x14ac:dyDescent="0.25">
      <c r="A60" s="7">
        <v>45595</v>
      </c>
      <c r="B60" s="8">
        <v>27</v>
      </c>
      <c r="C60" s="8">
        <v>36</v>
      </c>
      <c r="D60" s="4"/>
      <c r="E60" s="4"/>
      <c r="F60" s="4"/>
      <c r="G60" s="4"/>
      <c r="H60" s="4"/>
      <c r="I60" s="4"/>
      <c r="J60" s="4"/>
      <c r="K60" s="4"/>
      <c r="L60" s="4"/>
      <c r="M60" s="4"/>
      <c r="N60" s="4"/>
      <c r="O60" s="4"/>
      <c r="P60" s="4"/>
      <c r="Q60" s="4"/>
    </row>
    <row r="61" spans="1:17" ht="15.75" x14ac:dyDescent="0.25">
      <c r="A61" s="7">
        <v>45596</v>
      </c>
      <c r="B61" s="8">
        <v>26</v>
      </c>
      <c r="C61" s="8">
        <v>35</v>
      </c>
      <c r="D61" s="4"/>
      <c r="E61" s="4"/>
      <c r="F61" s="4"/>
      <c r="G61" s="4"/>
      <c r="H61" s="4"/>
      <c r="I61" s="4"/>
      <c r="J61" s="4"/>
      <c r="K61" s="4"/>
      <c r="L61" s="4"/>
      <c r="M61" s="4"/>
      <c r="N61" s="4"/>
      <c r="O61" s="4"/>
      <c r="P61" s="4"/>
      <c r="Q61" s="4"/>
    </row>
    <row r="62" spans="1:17" ht="15.75" x14ac:dyDescent="0.25">
      <c r="A62" s="7">
        <v>45597</v>
      </c>
      <c r="B62" s="8">
        <v>28</v>
      </c>
      <c r="C62" s="8">
        <v>41</v>
      </c>
      <c r="D62" s="4"/>
      <c r="E62" s="4"/>
      <c r="F62" s="4"/>
      <c r="G62" s="4"/>
      <c r="H62" s="4"/>
      <c r="I62" s="4"/>
      <c r="J62" s="4"/>
      <c r="K62" s="4"/>
      <c r="L62" s="4"/>
      <c r="M62" s="4"/>
      <c r="N62" s="4"/>
      <c r="O62" s="4"/>
      <c r="P62" s="4"/>
      <c r="Q62" s="4"/>
    </row>
    <row r="63" spans="1:17" ht="15.75" x14ac:dyDescent="0.25">
      <c r="A63" s="7">
        <v>45598</v>
      </c>
      <c r="B63" s="8">
        <v>43</v>
      </c>
      <c r="C63" s="8">
        <v>58</v>
      </c>
      <c r="D63" s="4"/>
      <c r="E63" s="4"/>
      <c r="F63" s="4"/>
      <c r="G63" s="4"/>
      <c r="H63" s="4"/>
      <c r="I63" s="4"/>
      <c r="J63" s="4"/>
      <c r="K63" s="4"/>
      <c r="L63" s="4"/>
      <c r="M63" s="4"/>
      <c r="N63" s="4"/>
      <c r="O63" s="4"/>
      <c r="P63" s="4"/>
      <c r="Q63" s="4"/>
    </row>
    <row r="64" spans="1:17" ht="15.75" x14ac:dyDescent="0.25">
      <c r="A64" s="7">
        <v>45599</v>
      </c>
      <c r="B64" s="8">
        <v>44</v>
      </c>
      <c r="C64" s="8">
        <v>60</v>
      </c>
      <c r="D64" s="4"/>
      <c r="E64" s="4"/>
      <c r="F64" s="4"/>
      <c r="G64" s="4"/>
      <c r="H64" s="4"/>
      <c r="I64" s="4"/>
      <c r="J64" s="4"/>
      <c r="K64" s="4"/>
      <c r="L64" s="4"/>
      <c r="M64" s="4"/>
      <c r="N64" s="4"/>
      <c r="O64" s="4"/>
      <c r="P64" s="4"/>
      <c r="Q64" s="4"/>
    </row>
    <row r="65" spans="1:17" ht="15.75" x14ac:dyDescent="0.25">
      <c r="A65" s="7">
        <v>45600</v>
      </c>
      <c r="B65" s="8">
        <v>32</v>
      </c>
      <c r="C65" s="8">
        <v>42</v>
      </c>
      <c r="D65" s="4"/>
      <c r="E65" s="4"/>
      <c r="F65" s="4"/>
      <c r="G65" s="4"/>
      <c r="H65" s="4"/>
      <c r="I65" s="4"/>
      <c r="J65" s="4"/>
      <c r="K65" s="4"/>
      <c r="L65" s="4"/>
      <c r="M65" s="4"/>
      <c r="N65" s="4"/>
      <c r="O65" s="4"/>
      <c r="P65" s="4"/>
      <c r="Q65" s="4"/>
    </row>
    <row r="66" spans="1:17" ht="15.75" x14ac:dyDescent="0.25">
      <c r="A66" s="7">
        <v>45601</v>
      </c>
      <c r="B66" s="8">
        <v>30</v>
      </c>
      <c r="C66" s="8">
        <v>38</v>
      </c>
      <c r="D66" s="4"/>
      <c r="E66" s="4"/>
      <c r="F66" s="4"/>
      <c r="G66" s="4"/>
      <c r="H66" s="4"/>
      <c r="I66" s="4"/>
      <c r="J66" s="4"/>
      <c r="K66" s="4"/>
      <c r="L66" s="4"/>
      <c r="M66" s="4"/>
      <c r="N66" s="4"/>
      <c r="O66" s="4"/>
      <c r="P66" s="4"/>
      <c r="Q66" s="4"/>
    </row>
    <row r="67" spans="1:17" ht="15.75" x14ac:dyDescent="0.25">
      <c r="A67" s="7">
        <v>45602</v>
      </c>
      <c r="B67" s="8">
        <v>22</v>
      </c>
      <c r="C67" s="8">
        <v>27</v>
      </c>
      <c r="D67" s="4"/>
      <c r="E67" s="4"/>
      <c r="F67" s="4"/>
      <c r="G67" s="4"/>
      <c r="H67" s="4"/>
      <c r="I67" s="4"/>
      <c r="J67" s="4"/>
      <c r="K67" s="4"/>
      <c r="L67" s="4"/>
      <c r="M67" s="4"/>
      <c r="N67" s="4"/>
      <c r="O67" s="4"/>
      <c r="P67" s="4"/>
      <c r="Q67" s="4"/>
    </row>
    <row r="68" spans="1:17" ht="15.75" x14ac:dyDescent="0.25">
      <c r="A68" s="7">
        <v>45603</v>
      </c>
      <c r="B68" s="8">
        <v>36</v>
      </c>
      <c r="C68" s="8">
        <v>38</v>
      </c>
      <c r="D68" s="4"/>
      <c r="E68" s="4"/>
      <c r="F68" s="4"/>
      <c r="G68" s="4"/>
      <c r="H68" s="4"/>
      <c r="I68" s="4"/>
      <c r="J68" s="4"/>
      <c r="K68" s="4"/>
      <c r="L68" s="4"/>
      <c r="M68" s="4"/>
      <c r="N68" s="4"/>
      <c r="O68" s="4"/>
      <c r="P68" s="4"/>
      <c r="Q68" s="4"/>
    </row>
    <row r="69" spans="1:17" ht="15.75" x14ac:dyDescent="0.25">
      <c r="A69" s="7">
        <v>45604</v>
      </c>
      <c r="B69" s="8">
        <v>42</v>
      </c>
      <c r="C69" s="8">
        <v>42</v>
      </c>
      <c r="D69" s="4"/>
      <c r="E69" s="4"/>
      <c r="F69" s="4"/>
      <c r="G69" s="4"/>
      <c r="H69" s="4"/>
      <c r="I69" s="4"/>
      <c r="J69" s="4"/>
      <c r="K69" s="4"/>
      <c r="L69" s="4"/>
      <c r="M69" s="4"/>
      <c r="N69" s="4"/>
      <c r="O69" s="4"/>
      <c r="P69" s="4"/>
      <c r="Q69" s="4"/>
    </row>
    <row r="70" spans="1:17" ht="15.75" x14ac:dyDescent="0.25">
      <c r="A70" s="7">
        <v>45605</v>
      </c>
      <c r="B70" s="8">
        <v>49</v>
      </c>
      <c r="C70" s="8">
        <v>55</v>
      </c>
      <c r="D70" s="4"/>
      <c r="E70" s="4"/>
      <c r="F70" s="4"/>
      <c r="G70" s="4"/>
      <c r="H70" s="4"/>
      <c r="I70" s="4"/>
      <c r="J70" s="4"/>
      <c r="K70" s="4"/>
      <c r="L70" s="4"/>
      <c r="M70" s="4"/>
      <c r="N70" s="4"/>
      <c r="O70" s="4"/>
      <c r="P70" s="4"/>
      <c r="Q70" s="4"/>
    </row>
    <row r="71" spans="1:17" ht="15.75" x14ac:dyDescent="0.25">
      <c r="A71" s="7">
        <v>45606</v>
      </c>
      <c r="B71" s="8">
        <v>48</v>
      </c>
      <c r="C71" s="8">
        <v>57</v>
      </c>
      <c r="D71" s="4"/>
      <c r="E71" s="4"/>
      <c r="F71" s="4"/>
      <c r="G71" s="4"/>
      <c r="H71" s="4"/>
      <c r="I71" s="4"/>
      <c r="J71" s="4"/>
      <c r="K71" s="4"/>
      <c r="L71" s="4"/>
      <c r="M71" s="4"/>
      <c r="N71" s="4"/>
      <c r="O71" s="4"/>
      <c r="P71" s="4"/>
      <c r="Q71" s="4"/>
    </row>
    <row r="72" spans="1:17" ht="15.75" x14ac:dyDescent="0.25">
      <c r="A72" s="7">
        <v>45607</v>
      </c>
      <c r="B72" s="8">
        <v>41</v>
      </c>
      <c r="C72" s="8">
        <v>47</v>
      </c>
      <c r="D72" s="4"/>
      <c r="E72" s="4"/>
      <c r="F72" s="4"/>
      <c r="G72" s="4"/>
      <c r="H72" s="4"/>
      <c r="I72" s="4"/>
      <c r="J72" s="4"/>
      <c r="K72" s="4"/>
      <c r="L72" s="4"/>
      <c r="M72" s="4"/>
      <c r="N72" s="4"/>
      <c r="O72" s="4"/>
      <c r="P72" s="4"/>
      <c r="Q72" s="4"/>
    </row>
    <row r="73" spans="1:17" ht="15.75" x14ac:dyDescent="0.25">
      <c r="A73" s="7">
        <v>45608</v>
      </c>
      <c r="B73" s="8">
        <v>35</v>
      </c>
      <c r="C73" s="8">
        <v>41</v>
      </c>
      <c r="D73" s="4"/>
      <c r="E73" s="4"/>
      <c r="F73" s="4"/>
      <c r="G73" s="4"/>
      <c r="H73" s="4"/>
      <c r="I73" s="4"/>
      <c r="J73" s="4"/>
      <c r="K73" s="4"/>
      <c r="L73" s="4"/>
      <c r="M73" s="4"/>
      <c r="N73" s="4"/>
      <c r="O73" s="4"/>
      <c r="P73" s="4"/>
      <c r="Q73" s="4"/>
    </row>
    <row r="74" spans="1:17" ht="15.75" x14ac:dyDescent="0.25">
      <c r="A74" s="7">
        <v>45609</v>
      </c>
      <c r="B74" s="8">
        <v>37</v>
      </c>
      <c r="C74" s="8">
        <v>48</v>
      </c>
      <c r="D74" s="4"/>
      <c r="E74" s="4"/>
      <c r="F74" s="4"/>
      <c r="G74" s="4"/>
      <c r="H74" s="4"/>
      <c r="I74" s="4"/>
      <c r="J74" s="4"/>
      <c r="K74" s="4"/>
      <c r="L74" s="4"/>
      <c r="M74" s="4"/>
      <c r="N74" s="4"/>
      <c r="O74" s="4"/>
      <c r="P74" s="4"/>
      <c r="Q74" s="4"/>
    </row>
    <row r="75" spans="1:17" ht="15.75" x14ac:dyDescent="0.25">
      <c r="A75" s="7">
        <v>45610</v>
      </c>
      <c r="B75" s="8">
        <v>35</v>
      </c>
      <c r="C75" s="8">
        <v>46</v>
      </c>
      <c r="D75" s="4"/>
      <c r="E75" s="4"/>
      <c r="F75" s="4"/>
      <c r="G75" s="4"/>
      <c r="H75" s="4"/>
      <c r="I75" s="4"/>
      <c r="J75" s="4"/>
      <c r="K75" s="4"/>
      <c r="L75" s="4"/>
      <c r="M75" s="4"/>
      <c r="N75" s="4"/>
      <c r="O75" s="4"/>
      <c r="P75" s="4"/>
      <c r="Q75" s="4"/>
    </row>
    <row r="76" spans="1:17" ht="15.75" x14ac:dyDescent="0.25">
      <c r="A76" s="7">
        <v>45611</v>
      </c>
      <c r="B76" s="8">
        <v>35</v>
      </c>
      <c r="C76" s="8">
        <v>47</v>
      </c>
      <c r="D76" s="4"/>
      <c r="E76" s="4"/>
      <c r="F76" s="4"/>
      <c r="G76" s="4"/>
      <c r="H76" s="4"/>
      <c r="I76" s="4"/>
      <c r="J76" s="4"/>
      <c r="K76" s="4"/>
      <c r="L76" s="4"/>
      <c r="M76" s="4"/>
      <c r="N76" s="4"/>
      <c r="O76" s="4"/>
      <c r="P76" s="4"/>
      <c r="Q76" s="4"/>
    </row>
    <row r="77" spans="1:17" ht="15.75" x14ac:dyDescent="0.25">
      <c r="A77" s="7">
        <v>45612</v>
      </c>
      <c r="B77" s="8">
        <v>43</v>
      </c>
      <c r="C77" s="8">
        <v>54</v>
      </c>
      <c r="D77" s="4"/>
      <c r="E77" s="4"/>
      <c r="F77" s="4"/>
      <c r="G77" s="4"/>
      <c r="H77" s="4"/>
      <c r="I77" s="4"/>
      <c r="J77" s="4"/>
      <c r="K77" s="4"/>
      <c r="L77" s="4"/>
      <c r="M77" s="4"/>
      <c r="N77" s="4"/>
      <c r="O77" s="4"/>
      <c r="P77" s="4"/>
      <c r="Q77" s="4"/>
    </row>
    <row r="78" spans="1:17" ht="15.75" x14ac:dyDescent="0.25">
      <c r="A78" s="7">
        <v>45613</v>
      </c>
      <c r="B78" s="8">
        <v>47</v>
      </c>
      <c r="C78" s="8">
        <v>61</v>
      </c>
      <c r="D78" s="4"/>
      <c r="E78" s="4"/>
      <c r="F78" s="4"/>
      <c r="G78" s="4"/>
      <c r="H78" s="4"/>
      <c r="I78" s="4"/>
      <c r="J78" s="4"/>
      <c r="K78" s="4"/>
      <c r="L78" s="4"/>
      <c r="M78" s="4"/>
      <c r="N78" s="4"/>
      <c r="O78" s="4"/>
      <c r="P78" s="4"/>
      <c r="Q78" s="4"/>
    </row>
    <row r="79" spans="1:17" ht="15.75" x14ac:dyDescent="0.25">
      <c r="A79" s="7">
        <v>45614</v>
      </c>
      <c r="B79" s="8">
        <v>36</v>
      </c>
      <c r="C79" s="8">
        <v>46</v>
      </c>
      <c r="D79" s="4"/>
      <c r="E79" s="4"/>
      <c r="F79" s="4"/>
      <c r="G79" s="4"/>
      <c r="H79" s="4"/>
      <c r="I79" s="4"/>
      <c r="J79" s="4"/>
      <c r="K79" s="4"/>
      <c r="L79" s="4"/>
      <c r="M79" s="4"/>
      <c r="N79" s="4"/>
      <c r="O79" s="4"/>
      <c r="P79" s="4"/>
      <c r="Q79" s="4"/>
    </row>
    <row r="80" spans="1:17" ht="15.75" x14ac:dyDescent="0.25">
      <c r="A80" s="7">
        <v>45615</v>
      </c>
      <c r="B80" s="8">
        <v>32</v>
      </c>
      <c r="C80" s="8">
        <v>43</v>
      </c>
      <c r="D80" s="4"/>
      <c r="E80" s="4"/>
      <c r="F80" s="4"/>
      <c r="G80" s="4"/>
      <c r="H80" s="4"/>
      <c r="I80" s="4"/>
      <c r="J80" s="4"/>
      <c r="K80" s="4"/>
      <c r="L80" s="4"/>
      <c r="M80" s="4"/>
      <c r="N80" s="4"/>
      <c r="O80" s="4"/>
      <c r="P80" s="4"/>
      <c r="Q80" s="4"/>
    </row>
    <row r="81" spans="1:17" ht="15.75" x14ac:dyDescent="0.25">
      <c r="A81" s="7">
        <v>45616</v>
      </c>
      <c r="B81" s="8">
        <v>36</v>
      </c>
      <c r="C81" s="8">
        <v>47</v>
      </c>
      <c r="D81" s="4"/>
      <c r="E81" s="4"/>
      <c r="F81" s="4"/>
      <c r="G81" s="4"/>
      <c r="H81" s="4"/>
      <c r="I81" s="4"/>
      <c r="J81" s="4"/>
      <c r="K81" s="4"/>
      <c r="L81" s="4"/>
      <c r="M81" s="4"/>
      <c r="N81" s="4"/>
      <c r="O81" s="4"/>
      <c r="P81" s="4"/>
      <c r="Q81" s="4"/>
    </row>
    <row r="82" spans="1:17" ht="15.75" x14ac:dyDescent="0.25">
      <c r="A82" s="7">
        <v>45617</v>
      </c>
      <c r="B82" s="8">
        <v>45</v>
      </c>
      <c r="C82" s="8">
        <v>48</v>
      </c>
      <c r="D82" s="4"/>
      <c r="E82" s="4"/>
      <c r="F82" s="4"/>
      <c r="G82" s="4"/>
      <c r="H82" s="4"/>
      <c r="I82" s="4"/>
      <c r="J82" s="4"/>
      <c r="K82" s="4"/>
      <c r="L82" s="4"/>
      <c r="M82" s="4"/>
      <c r="N82" s="4"/>
      <c r="O82" s="4"/>
      <c r="P82" s="4"/>
      <c r="Q82" s="4"/>
    </row>
    <row r="83" spans="1:17" ht="15.75" x14ac:dyDescent="0.25">
      <c r="A83" s="7">
        <v>45618</v>
      </c>
      <c r="B83" s="8">
        <v>54</v>
      </c>
      <c r="C83" s="8">
        <v>53</v>
      </c>
      <c r="D83" s="4"/>
      <c r="E83" s="4"/>
      <c r="F83" s="4"/>
      <c r="G83" s="4"/>
      <c r="H83" s="4"/>
      <c r="I83" s="4"/>
      <c r="J83" s="4"/>
      <c r="K83" s="4"/>
      <c r="L83" s="4"/>
      <c r="M83" s="4"/>
      <c r="N83" s="4"/>
      <c r="O83" s="4"/>
      <c r="P83" s="4"/>
      <c r="Q83" s="4"/>
    </row>
    <row r="84" spans="1:17" ht="15.75" x14ac:dyDescent="0.25">
      <c r="A84" s="7">
        <v>45619</v>
      </c>
      <c r="B84" s="8">
        <v>63</v>
      </c>
      <c r="C84" s="8">
        <v>70</v>
      </c>
      <c r="D84" s="4"/>
      <c r="E84" s="4"/>
      <c r="F84" s="4"/>
      <c r="G84" s="4"/>
      <c r="H84" s="4"/>
      <c r="I84" s="4"/>
      <c r="J84" s="4"/>
      <c r="K84" s="4"/>
      <c r="L84" s="4"/>
      <c r="M84" s="4"/>
      <c r="N84" s="4"/>
      <c r="O84" s="4"/>
      <c r="P84" s="4"/>
      <c r="Q84" s="4"/>
    </row>
    <row r="85" spans="1:17" ht="15.75" x14ac:dyDescent="0.25">
      <c r="A85" s="7">
        <v>45620</v>
      </c>
      <c r="B85" s="8">
        <v>64</v>
      </c>
      <c r="C85" s="8">
        <v>68</v>
      </c>
      <c r="D85" s="4"/>
      <c r="E85" s="4"/>
      <c r="F85" s="4"/>
      <c r="G85" s="4"/>
      <c r="H85" s="4"/>
      <c r="I85" s="4"/>
      <c r="J85" s="4"/>
      <c r="K85" s="4"/>
      <c r="L85" s="4"/>
      <c r="M85" s="4"/>
      <c r="N85" s="4"/>
      <c r="O85" s="4"/>
      <c r="P85" s="4"/>
      <c r="Q85" s="4"/>
    </row>
    <row r="86" spans="1:17" ht="15.75" x14ac:dyDescent="0.25">
      <c r="A86" s="7">
        <v>45621</v>
      </c>
      <c r="B86" s="8">
        <v>52</v>
      </c>
      <c r="C86" s="8">
        <v>56</v>
      </c>
      <c r="D86" s="4"/>
      <c r="E86" s="4"/>
      <c r="F86" s="4"/>
      <c r="G86" s="4"/>
      <c r="H86" s="4"/>
      <c r="I86" s="4"/>
      <c r="J86" s="4"/>
      <c r="K86" s="4"/>
      <c r="L86" s="4"/>
      <c r="M86" s="4"/>
      <c r="N86" s="4"/>
      <c r="O86" s="4"/>
      <c r="P86" s="4"/>
      <c r="Q86" s="4"/>
    </row>
    <row r="87" spans="1:17" ht="15.75" x14ac:dyDescent="0.25">
      <c r="A87" s="7">
        <v>45622</v>
      </c>
      <c r="B87" s="8">
        <v>53</v>
      </c>
      <c r="C87" s="8">
        <v>57</v>
      </c>
      <c r="D87" s="4"/>
      <c r="E87" s="4"/>
      <c r="F87" s="4"/>
      <c r="G87" s="4"/>
      <c r="H87" s="4"/>
      <c r="I87" s="4"/>
      <c r="J87" s="4"/>
      <c r="K87" s="4"/>
      <c r="L87" s="4"/>
      <c r="M87" s="4"/>
      <c r="N87" s="4"/>
      <c r="O87" s="4"/>
      <c r="P87" s="4"/>
      <c r="Q87" s="4"/>
    </row>
    <row r="88" spans="1:17" ht="15.75" x14ac:dyDescent="0.25">
      <c r="A88" s="7">
        <v>45623</v>
      </c>
      <c r="B88" s="8">
        <v>57</v>
      </c>
      <c r="C88" s="8">
        <v>64</v>
      </c>
      <c r="D88" s="4"/>
      <c r="E88" s="4"/>
      <c r="F88" s="4"/>
      <c r="G88" s="4"/>
      <c r="H88" s="4"/>
      <c r="I88" s="4"/>
      <c r="J88" s="4"/>
      <c r="K88" s="4"/>
      <c r="L88" s="4"/>
      <c r="M88" s="4"/>
      <c r="N88" s="4"/>
      <c r="O88" s="4"/>
      <c r="P88" s="4"/>
      <c r="Q88" s="4"/>
    </row>
    <row r="89" spans="1:17" ht="15.75" x14ac:dyDescent="0.25">
      <c r="A89" s="7">
        <v>45624</v>
      </c>
      <c r="B89" s="8">
        <v>66</v>
      </c>
      <c r="C89" s="8">
        <v>77</v>
      </c>
      <c r="D89" s="4"/>
      <c r="E89" s="4"/>
      <c r="F89" s="4"/>
      <c r="G89" s="4"/>
      <c r="H89" s="4"/>
      <c r="I89" s="4"/>
      <c r="J89" s="4"/>
      <c r="K89" s="4"/>
      <c r="L89" s="4"/>
      <c r="M89" s="4"/>
      <c r="N89" s="4"/>
      <c r="O89" s="4"/>
      <c r="P89" s="4"/>
      <c r="Q89" s="4"/>
    </row>
    <row r="90" spans="1:17" ht="15.75" x14ac:dyDescent="0.25">
      <c r="A90" s="7">
        <v>45625</v>
      </c>
      <c r="B90" s="8">
        <v>98</v>
      </c>
      <c r="C90" s="8">
        <v>100</v>
      </c>
      <c r="D90" s="4"/>
      <c r="E90" s="4"/>
      <c r="F90" s="4"/>
      <c r="G90" s="4"/>
      <c r="H90" s="4"/>
      <c r="I90" s="4"/>
      <c r="J90" s="4"/>
      <c r="K90" s="4"/>
      <c r="L90" s="4"/>
      <c r="M90" s="4"/>
      <c r="N90" s="4"/>
      <c r="O90" s="4"/>
      <c r="P90" s="4"/>
      <c r="Q90" s="4"/>
    </row>
    <row r="91" spans="1:17" ht="15.75" x14ac:dyDescent="0.25">
      <c r="A91" s="7">
        <v>45626</v>
      </c>
      <c r="B91" s="8">
        <v>79</v>
      </c>
      <c r="C91" s="8">
        <v>86</v>
      </c>
      <c r="D91" s="4"/>
      <c r="E91" s="4"/>
      <c r="F91" s="4"/>
      <c r="G91" s="4"/>
      <c r="H91" s="4"/>
      <c r="I91" s="4"/>
      <c r="J91" s="4"/>
      <c r="K91" s="4"/>
      <c r="L91" s="4"/>
      <c r="M91" s="4"/>
      <c r="N91" s="4"/>
      <c r="O91" s="4"/>
      <c r="P91" s="4"/>
      <c r="Q91" s="4"/>
    </row>
    <row r="92" spans="1:17" ht="15.75" x14ac:dyDescent="0.25">
      <c r="A92" s="7">
        <v>45627</v>
      </c>
      <c r="B92" s="8">
        <v>73</v>
      </c>
      <c r="C92" s="8">
        <v>83</v>
      </c>
      <c r="D92" s="4"/>
      <c r="E92" s="4"/>
      <c r="F92" s="4"/>
      <c r="G92" s="4"/>
      <c r="H92" s="4"/>
      <c r="I92" s="4"/>
      <c r="J92" s="4"/>
      <c r="K92" s="4"/>
      <c r="L92" s="4"/>
      <c r="M92" s="4"/>
      <c r="N92" s="4"/>
      <c r="O92" s="4"/>
      <c r="P92" s="4"/>
      <c r="Q92" s="4"/>
    </row>
    <row r="93" spans="1:17" ht="15.75" x14ac:dyDescent="0.25">
      <c r="A93" s="7">
        <v>45628</v>
      </c>
      <c r="B93" s="8">
        <v>61</v>
      </c>
      <c r="C93" s="8">
        <v>63</v>
      </c>
      <c r="D93" s="4"/>
      <c r="E93" s="4"/>
      <c r="F93" s="4"/>
      <c r="G93" s="4"/>
      <c r="H93" s="4"/>
      <c r="I93" s="4"/>
      <c r="J93" s="4"/>
      <c r="K93" s="4"/>
      <c r="L93" s="4"/>
      <c r="M93" s="4"/>
      <c r="N93" s="4"/>
      <c r="O93" s="4"/>
      <c r="P93" s="4"/>
      <c r="Q93" s="4"/>
    </row>
    <row r="94" spans="1:17" ht="15.75" x14ac:dyDescent="0.25">
      <c r="A94" s="7">
        <v>45629</v>
      </c>
      <c r="B94" s="8">
        <v>51</v>
      </c>
      <c r="C94" s="8">
        <v>52</v>
      </c>
      <c r="D94" s="4"/>
      <c r="E94" s="4"/>
      <c r="F94" s="4"/>
      <c r="G94" s="4"/>
      <c r="H94" s="4"/>
      <c r="I94" s="4"/>
      <c r="J94" s="4"/>
      <c r="K94" s="4"/>
      <c r="L94" s="4"/>
      <c r="M94" s="4"/>
      <c r="N94" s="4"/>
      <c r="O94" s="4"/>
      <c r="P94" s="4"/>
      <c r="Q94" s="4"/>
    </row>
    <row r="95" spans="1:17" ht="15.75" x14ac:dyDescent="0.25">
      <c r="A95" s="7">
        <v>45630</v>
      </c>
      <c r="B95" s="8">
        <v>44</v>
      </c>
      <c r="C95" s="8">
        <v>49</v>
      </c>
      <c r="D95" s="4"/>
      <c r="E95" s="4"/>
      <c r="F95" s="4"/>
      <c r="G95" s="4"/>
      <c r="H95" s="4"/>
      <c r="I95" s="4"/>
      <c r="J95" s="4"/>
      <c r="K95" s="4"/>
      <c r="L95" s="4"/>
      <c r="M95" s="4"/>
      <c r="N95" s="4"/>
      <c r="O95" s="4"/>
      <c r="P95" s="4"/>
      <c r="Q95" s="4"/>
    </row>
    <row r="96" spans="1:17" ht="15.75" x14ac:dyDescent="0.25">
      <c r="A96" s="4"/>
      <c r="B96" s="4"/>
      <c r="C96" s="4"/>
      <c r="D96" s="4"/>
      <c r="E96" s="4"/>
      <c r="F96" s="4"/>
      <c r="G96" s="4"/>
      <c r="H96" s="4"/>
      <c r="I96" s="4"/>
      <c r="J96" s="4"/>
      <c r="K96" s="4"/>
      <c r="L96" s="4"/>
      <c r="M96" s="4"/>
      <c r="N96" s="4"/>
      <c r="O96" s="4"/>
      <c r="P96" s="4"/>
      <c r="Q96" s="4"/>
    </row>
    <row r="97" spans="1:17" ht="15.75" x14ac:dyDescent="0.25">
      <c r="A97" s="4"/>
      <c r="B97" s="4"/>
      <c r="C97" s="4"/>
      <c r="D97" s="4"/>
      <c r="E97" s="4"/>
      <c r="F97" s="4"/>
      <c r="G97" s="4"/>
      <c r="H97" s="4"/>
      <c r="I97" s="4"/>
      <c r="J97" s="4"/>
      <c r="K97" s="4"/>
      <c r="L97" s="4"/>
      <c r="M97" s="4"/>
      <c r="N97" s="4"/>
      <c r="O97" s="4"/>
      <c r="P97" s="4"/>
      <c r="Q97" s="4"/>
    </row>
    <row r="98" spans="1:17" ht="15.75" x14ac:dyDescent="0.25">
      <c r="A98" s="4"/>
      <c r="B98" s="4"/>
      <c r="C98" s="4"/>
      <c r="D98" s="4"/>
      <c r="E98" s="4"/>
      <c r="F98" s="4"/>
      <c r="G98" s="4"/>
      <c r="H98" s="4"/>
      <c r="I98" s="4"/>
      <c r="J98" s="4"/>
      <c r="K98" s="4"/>
      <c r="L98" s="4"/>
      <c r="M98" s="4"/>
      <c r="N98" s="4"/>
      <c r="O98" s="4"/>
      <c r="P98" s="4"/>
      <c r="Q98" s="4"/>
    </row>
    <row r="99" spans="1:17" ht="15.75" x14ac:dyDescent="0.25">
      <c r="A99" s="4"/>
      <c r="B99" s="4"/>
      <c r="C99" s="4"/>
      <c r="D99" s="4"/>
      <c r="E99" s="4"/>
      <c r="F99" s="4"/>
      <c r="G99" s="4"/>
      <c r="H99" s="4"/>
      <c r="I99" s="4"/>
      <c r="J99" s="4"/>
      <c r="K99" s="4"/>
      <c r="L99" s="4"/>
      <c r="M99" s="4"/>
      <c r="N99" s="4"/>
      <c r="O99" s="4"/>
      <c r="P99" s="4"/>
      <c r="Q99" s="4"/>
    </row>
    <row r="100" spans="1:17" ht="15.75" x14ac:dyDescent="0.25">
      <c r="A100" s="4"/>
      <c r="B100" s="4"/>
      <c r="C100" s="4"/>
      <c r="D100" s="4"/>
      <c r="E100" s="4"/>
      <c r="F100" s="4"/>
      <c r="G100" s="4"/>
      <c r="H100" s="4"/>
      <c r="I100" s="4"/>
      <c r="J100" s="4"/>
      <c r="K100" s="4"/>
      <c r="L100" s="4"/>
      <c r="M100" s="4"/>
      <c r="N100" s="4"/>
      <c r="O100" s="4"/>
      <c r="P100" s="4"/>
      <c r="Q100" s="4"/>
    </row>
    <row r="101" spans="1:17" ht="15.75" x14ac:dyDescent="0.25">
      <c r="A101" s="4"/>
      <c r="B101" s="4"/>
      <c r="C101" s="4"/>
      <c r="D101" s="4"/>
      <c r="E101" s="4"/>
      <c r="F101" s="4"/>
      <c r="G101" s="4"/>
      <c r="H101" s="4"/>
      <c r="I101" s="4"/>
      <c r="J101" s="4"/>
      <c r="K101" s="4"/>
      <c r="L101" s="4"/>
      <c r="M101" s="4"/>
      <c r="N101" s="4"/>
      <c r="O101" s="4"/>
      <c r="P101" s="4"/>
      <c r="Q101" s="4"/>
    </row>
    <row r="102" spans="1:17" ht="15.75" x14ac:dyDescent="0.25">
      <c r="A102" s="4"/>
      <c r="B102" s="4"/>
      <c r="C102" s="4"/>
      <c r="D102" s="4"/>
      <c r="E102" s="4"/>
      <c r="F102" s="4"/>
      <c r="G102" s="4"/>
      <c r="H102" s="4"/>
      <c r="I102" s="4"/>
      <c r="J102" s="4"/>
      <c r="K102" s="4"/>
      <c r="L102" s="4"/>
      <c r="M102" s="4"/>
      <c r="N102" s="4"/>
      <c r="O102" s="4"/>
      <c r="P102" s="4"/>
      <c r="Q102" s="4"/>
    </row>
    <row r="103" spans="1:17" ht="15.75" x14ac:dyDescent="0.25">
      <c r="A103" s="4"/>
      <c r="B103" s="4"/>
      <c r="C103" s="4"/>
      <c r="D103" s="4"/>
      <c r="E103" s="4"/>
      <c r="F103" s="4"/>
      <c r="G103" s="4"/>
      <c r="H103" s="4"/>
      <c r="I103" s="4"/>
      <c r="J103" s="4"/>
      <c r="K103" s="4"/>
      <c r="L103" s="4"/>
      <c r="M103" s="4"/>
      <c r="N103" s="4"/>
      <c r="O103" s="4"/>
      <c r="P103" s="4"/>
      <c r="Q103" s="4"/>
    </row>
    <row r="104" spans="1:17" ht="15.75" x14ac:dyDescent="0.25">
      <c r="A104" s="4"/>
      <c r="B104" s="4"/>
      <c r="C104" s="4"/>
      <c r="D104" s="4"/>
      <c r="E104" s="4"/>
      <c r="F104" s="4"/>
      <c r="G104" s="4"/>
      <c r="H104" s="4"/>
      <c r="I104" s="4"/>
      <c r="J104" s="4"/>
      <c r="K104" s="4"/>
      <c r="L104" s="4"/>
      <c r="M104" s="4"/>
      <c r="N104" s="4"/>
      <c r="O104" s="4"/>
      <c r="P104" s="4"/>
      <c r="Q104" s="4"/>
    </row>
  </sheetData>
  <mergeCells count="1">
    <mergeCell ref="J57:N57"/>
  </mergeCells>
  <pageMargins left="0.7" right="0.7" top="0.75" bottom="0.75" header="0.3" footer="0.3"/>
  <pageSetup scale="41" orientation="landscape" r:id="rId1"/>
  <headerFooter>
    <oddHeader>&amp;C&amp;"-,Bold"&amp;12Jesse Xiong</oddHeader>
    <oddFooter>&amp;L&amp;"-,Bold"&amp;12Final Comprehensive Analysis: Ps5 vs Xbox&amp;C&amp;"-,Bold"&amp;12Jesse Xiong</oddFooter>
  </headerFooter>
  <rowBreaks count="1" manualBreakCount="1">
    <brk id="5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99AA8-5BBE-4E93-8D9C-06EA8AB03912}">
  <dimension ref="A1:F95"/>
  <sheetViews>
    <sheetView view="pageBreakPreview" zoomScale="60" zoomScaleNormal="100" workbookViewId="0">
      <selection activeCell="F4" sqref="F4"/>
    </sheetView>
  </sheetViews>
  <sheetFormatPr defaultRowHeight="15" x14ac:dyDescent="0.25"/>
  <cols>
    <col min="1" max="1" width="12.140625" customWidth="1"/>
    <col min="2" max="2" width="18.28515625" bestFit="1" customWidth="1"/>
    <col min="3" max="3" width="19.140625" bestFit="1" customWidth="1"/>
    <col min="4" max="4" width="9.85546875" bestFit="1" customWidth="1"/>
  </cols>
  <sheetData>
    <row r="1" spans="1:5" ht="15.75" x14ac:dyDescent="0.25">
      <c r="A1" s="4" t="s">
        <v>0</v>
      </c>
      <c r="B1" s="4"/>
      <c r="C1" s="4"/>
      <c r="D1" s="4"/>
      <c r="E1" s="4"/>
    </row>
    <row r="2" spans="1:5" ht="15.75" x14ac:dyDescent="0.25">
      <c r="A2" s="4"/>
      <c r="B2" s="4"/>
      <c r="C2" s="4"/>
      <c r="D2" s="4"/>
      <c r="E2" s="4"/>
    </row>
    <row r="3" spans="1:5" ht="15.75" x14ac:dyDescent="0.25">
      <c r="A3" s="6" t="s">
        <v>14</v>
      </c>
      <c r="B3" s="6" t="s">
        <v>1</v>
      </c>
      <c r="C3" s="6" t="s">
        <v>2</v>
      </c>
      <c r="D3" s="6" t="s">
        <v>52</v>
      </c>
      <c r="E3" s="4"/>
    </row>
    <row r="4" spans="1:5" ht="15.75" x14ac:dyDescent="0.25">
      <c r="A4" s="7">
        <v>45539</v>
      </c>
      <c r="B4" s="8">
        <v>27</v>
      </c>
      <c r="C4" s="8">
        <v>39</v>
      </c>
      <c r="D4" s="8"/>
      <c r="E4" s="4"/>
    </row>
    <row r="5" spans="1:5" ht="15.75" x14ac:dyDescent="0.25">
      <c r="A5" s="7">
        <v>45540</v>
      </c>
      <c r="B5" s="8">
        <v>28</v>
      </c>
      <c r="C5" s="8">
        <v>38</v>
      </c>
      <c r="D5" s="8"/>
      <c r="E5" s="4"/>
    </row>
    <row r="6" spans="1:5" ht="15.75" x14ac:dyDescent="0.25">
      <c r="A6" s="7">
        <v>45541</v>
      </c>
      <c r="B6" s="8">
        <v>28</v>
      </c>
      <c r="C6" s="8">
        <v>37</v>
      </c>
      <c r="D6" s="8"/>
      <c r="E6" s="4"/>
    </row>
    <row r="7" spans="1:5" ht="15.75" x14ac:dyDescent="0.25">
      <c r="A7" s="7">
        <v>45542</v>
      </c>
      <c r="B7" s="8">
        <v>37</v>
      </c>
      <c r="C7" s="8">
        <v>50</v>
      </c>
      <c r="D7" s="8"/>
      <c r="E7" s="4"/>
    </row>
    <row r="8" spans="1:5" ht="15.75" x14ac:dyDescent="0.25">
      <c r="A8" s="7">
        <v>45543</v>
      </c>
      <c r="B8" s="8">
        <v>36</v>
      </c>
      <c r="C8" s="8">
        <v>51</v>
      </c>
      <c r="D8" s="8"/>
      <c r="E8" s="4"/>
    </row>
    <row r="9" spans="1:5" ht="15.75" x14ac:dyDescent="0.25">
      <c r="A9" s="7">
        <v>45544</v>
      </c>
      <c r="B9" s="8">
        <v>29</v>
      </c>
      <c r="C9" s="8">
        <v>35</v>
      </c>
      <c r="D9" s="8"/>
      <c r="E9" s="4"/>
    </row>
    <row r="10" spans="1:5" ht="15.75" x14ac:dyDescent="0.25">
      <c r="A10" s="7">
        <v>45545</v>
      </c>
      <c r="B10" s="8">
        <v>57</v>
      </c>
      <c r="C10" s="8">
        <v>36</v>
      </c>
      <c r="D10" s="8"/>
      <c r="E10" s="4"/>
    </row>
    <row r="11" spans="1:5" ht="15.75" x14ac:dyDescent="0.25">
      <c r="A11" s="7">
        <v>45546</v>
      </c>
      <c r="B11" s="8">
        <v>46</v>
      </c>
      <c r="C11" s="8">
        <v>35</v>
      </c>
      <c r="D11" s="8"/>
      <c r="E11" s="4"/>
    </row>
    <row r="12" spans="1:5" ht="15.75" x14ac:dyDescent="0.25">
      <c r="A12" s="7">
        <v>45547</v>
      </c>
      <c r="B12" s="8">
        <v>38</v>
      </c>
      <c r="C12" s="8">
        <v>36</v>
      </c>
      <c r="D12" s="8"/>
      <c r="E12" s="4"/>
    </row>
    <row r="13" spans="1:5" ht="15.75" x14ac:dyDescent="0.25">
      <c r="A13" s="7">
        <v>45548</v>
      </c>
      <c r="B13" s="8">
        <v>33</v>
      </c>
      <c r="C13" s="8">
        <v>37</v>
      </c>
      <c r="D13" s="8"/>
      <c r="E13" s="4"/>
    </row>
    <row r="14" spans="1:5" ht="15.75" x14ac:dyDescent="0.25">
      <c r="A14" s="7">
        <v>45549</v>
      </c>
      <c r="B14" s="8">
        <v>41</v>
      </c>
      <c r="C14" s="8">
        <v>49</v>
      </c>
      <c r="D14" s="8"/>
      <c r="E14" s="4"/>
    </row>
    <row r="15" spans="1:5" ht="15.75" x14ac:dyDescent="0.25">
      <c r="A15" s="7">
        <v>45550</v>
      </c>
      <c r="B15" s="8">
        <v>38</v>
      </c>
      <c r="C15" s="8">
        <v>47</v>
      </c>
      <c r="D15" s="8"/>
      <c r="E15" s="4"/>
    </row>
    <row r="16" spans="1:5" ht="15.75" x14ac:dyDescent="0.25">
      <c r="A16" s="7">
        <v>45551</v>
      </c>
      <c r="B16" s="8">
        <v>28</v>
      </c>
      <c r="C16" s="8">
        <v>34</v>
      </c>
      <c r="D16" s="8"/>
      <c r="E16" s="4"/>
    </row>
    <row r="17" spans="1:6" ht="15.75" x14ac:dyDescent="0.25">
      <c r="A17" s="7">
        <v>45552</v>
      </c>
      <c r="B17" s="8">
        <v>27</v>
      </c>
      <c r="C17" s="8">
        <v>35</v>
      </c>
      <c r="D17" s="8"/>
      <c r="E17" s="4"/>
    </row>
    <row r="18" spans="1:6" ht="15.75" x14ac:dyDescent="0.25">
      <c r="A18" s="7">
        <v>45553</v>
      </c>
      <c r="B18" s="8">
        <v>26</v>
      </c>
      <c r="C18" s="8">
        <v>35</v>
      </c>
      <c r="D18" s="8"/>
      <c r="E18" s="4"/>
    </row>
    <row r="19" spans="1:6" ht="15.75" x14ac:dyDescent="0.25">
      <c r="A19" s="7">
        <v>45554</v>
      </c>
      <c r="B19" s="8">
        <v>31</v>
      </c>
      <c r="C19" s="8">
        <v>35</v>
      </c>
      <c r="D19" s="8"/>
      <c r="E19" s="4"/>
    </row>
    <row r="20" spans="1:6" ht="15.75" x14ac:dyDescent="0.25">
      <c r="A20" s="7">
        <v>45555</v>
      </c>
      <c r="B20" s="8">
        <v>36</v>
      </c>
      <c r="C20" s="8">
        <v>37</v>
      </c>
      <c r="D20" s="8"/>
      <c r="E20" s="4"/>
    </row>
    <row r="21" spans="1:6" ht="15.75" x14ac:dyDescent="0.25">
      <c r="A21" s="7">
        <v>45556</v>
      </c>
      <c r="B21" s="8">
        <v>42</v>
      </c>
      <c r="C21" s="8">
        <v>51</v>
      </c>
      <c r="D21" s="8"/>
      <c r="E21" s="4"/>
    </row>
    <row r="22" spans="1:6" ht="15.75" x14ac:dyDescent="0.25">
      <c r="A22" s="7">
        <v>45557</v>
      </c>
      <c r="B22" s="8">
        <v>39</v>
      </c>
      <c r="C22" s="8">
        <v>47</v>
      </c>
      <c r="D22" s="8"/>
      <c r="E22" s="4"/>
    </row>
    <row r="23" spans="1:6" ht="15.75" x14ac:dyDescent="0.25">
      <c r="A23" s="7">
        <v>45558</v>
      </c>
      <c r="B23" s="8">
        <v>29</v>
      </c>
      <c r="C23" s="8">
        <v>34</v>
      </c>
      <c r="D23" s="8"/>
      <c r="E23" s="4"/>
    </row>
    <row r="24" spans="1:6" ht="15.75" x14ac:dyDescent="0.25">
      <c r="A24" s="7">
        <v>45559</v>
      </c>
      <c r="B24" s="8">
        <v>29</v>
      </c>
      <c r="C24" s="8">
        <v>33</v>
      </c>
      <c r="D24" s="8"/>
      <c r="E24" s="4"/>
    </row>
    <row r="25" spans="1:6" ht="15.75" x14ac:dyDescent="0.25">
      <c r="A25" s="7">
        <v>45560</v>
      </c>
      <c r="B25" s="8">
        <v>34</v>
      </c>
      <c r="C25" s="8">
        <v>33</v>
      </c>
      <c r="D25" s="8"/>
      <c r="E25" s="4"/>
    </row>
    <row r="26" spans="1:6" ht="15.75" x14ac:dyDescent="0.25">
      <c r="A26" s="7">
        <v>45561</v>
      </c>
      <c r="B26" s="8">
        <v>51</v>
      </c>
      <c r="C26" s="8">
        <v>35</v>
      </c>
      <c r="D26" s="8"/>
      <c r="E26" s="4"/>
    </row>
    <row r="27" spans="1:6" ht="15.75" x14ac:dyDescent="0.25">
      <c r="A27" s="7">
        <v>45562</v>
      </c>
      <c r="B27" s="8">
        <v>35</v>
      </c>
      <c r="C27" s="8">
        <v>36</v>
      </c>
      <c r="D27" s="8"/>
      <c r="E27" s="4"/>
    </row>
    <row r="28" spans="1:6" ht="15.75" x14ac:dyDescent="0.25">
      <c r="A28" s="7">
        <v>45563</v>
      </c>
      <c r="B28" s="8">
        <v>39</v>
      </c>
      <c r="C28" s="8">
        <v>45</v>
      </c>
      <c r="D28" s="8"/>
      <c r="E28" s="4"/>
    </row>
    <row r="29" spans="1:6" ht="15.75" x14ac:dyDescent="0.25">
      <c r="A29" s="7">
        <v>45564</v>
      </c>
      <c r="B29" s="8">
        <v>37</v>
      </c>
      <c r="C29" s="8">
        <v>45</v>
      </c>
      <c r="D29" s="8"/>
      <c r="E29" s="4"/>
    </row>
    <row r="30" spans="1:6" ht="15.75" x14ac:dyDescent="0.25">
      <c r="A30" s="7">
        <v>45565</v>
      </c>
      <c r="B30" s="8">
        <v>28</v>
      </c>
      <c r="C30" s="8">
        <v>33</v>
      </c>
      <c r="D30" s="8"/>
      <c r="E30" s="4"/>
      <c r="F30" t="s">
        <v>29</v>
      </c>
    </row>
    <row r="31" spans="1:6" ht="15.75" x14ac:dyDescent="0.25">
      <c r="A31" s="7">
        <v>45566</v>
      </c>
      <c r="B31" s="8">
        <v>40</v>
      </c>
      <c r="C31" s="8">
        <v>35</v>
      </c>
      <c r="D31" s="8"/>
      <c r="E31" s="4"/>
    </row>
    <row r="32" spans="1:6" ht="15.75" x14ac:dyDescent="0.25">
      <c r="A32" s="7">
        <v>45567</v>
      </c>
      <c r="B32" s="8">
        <v>27</v>
      </c>
      <c r="C32" s="8">
        <v>37</v>
      </c>
      <c r="D32" s="8"/>
      <c r="E32" s="4"/>
    </row>
    <row r="33" spans="1:5" ht="15.75" x14ac:dyDescent="0.25">
      <c r="A33" s="7">
        <v>45568</v>
      </c>
      <c r="B33" s="8">
        <v>27</v>
      </c>
      <c r="C33" s="8">
        <v>33</v>
      </c>
      <c r="D33" s="8"/>
      <c r="E33" s="4"/>
    </row>
    <row r="34" spans="1:5" ht="15.75" x14ac:dyDescent="0.25">
      <c r="A34" s="7">
        <v>45569</v>
      </c>
      <c r="B34" s="8">
        <v>29</v>
      </c>
      <c r="C34" s="8">
        <v>36</v>
      </c>
      <c r="D34" s="8"/>
      <c r="E34" s="4"/>
    </row>
    <row r="35" spans="1:5" ht="15.75" x14ac:dyDescent="0.25">
      <c r="A35" s="7">
        <v>45570</v>
      </c>
      <c r="B35" s="8">
        <v>36</v>
      </c>
      <c r="C35" s="8">
        <v>46</v>
      </c>
      <c r="D35" s="8"/>
      <c r="E35" s="4"/>
    </row>
    <row r="36" spans="1:5" ht="15.75" x14ac:dyDescent="0.25">
      <c r="A36" s="7">
        <v>45571</v>
      </c>
      <c r="B36" s="8">
        <v>38</v>
      </c>
      <c r="C36" s="8">
        <v>46</v>
      </c>
      <c r="D36" s="8"/>
      <c r="E36" s="4"/>
    </row>
    <row r="37" spans="1:5" ht="15.75" x14ac:dyDescent="0.25">
      <c r="A37" s="7">
        <v>45572</v>
      </c>
      <c r="B37" s="8">
        <v>28</v>
      </c>
      <c r="C37" s="8">
        <v>35</v>
      </c>
      <c r="D37" s="8"/>
      <c r="E37" s="4"/>
    </row>
    <row r="38" spans="1:5" ht="15.75" x14ac:dyDescent="0.25">
      <c r="A38" s="7">
        <v>45573</v>
      </c>
      <c r="B38" s="8">
        <v>30</v>
      </c>
      <c r="C38" s="8">
        <v>37</v>
      </c>
      <c r="D38" s="8"/>
      <c r="E38" s="4"/>
    </row>
    <row r="39" spans="1:5" ht="15.75" x14ac:dyDescent="0.25">
      <c r="A39" s="7">
        <v>45574</v>
      </c>
      <c r="B39" s="8">
        <v>30</v>
      </c>
      <c r="C39" s="8">
        <v>38</v>
      </c>
      <c r="D39" s="8"/>
      <c r="E39" s="4"/>
    </row>
    <row r="40" spans="1:5" ht="15.75" x14ac:dyDescent="0.25">
      <c r="A40" s="7">
        <v>45575</v>
      </c>
      <c r="B40" s="8">
        <v>33</v>
      </c>
      <c r="C40" s="8">
        <v>35</v>
      </c>
      <c r="D40" s="8"/>
      <c r="E40" s="4"/>
    </row>
    <row r="41" spans="1:5" ht="15.75" x14ac:dyDescent="0.25">
      <c r="A41" s="7">
        <v>45576</v>
      </c>
      <c r="B41" s="8">
        <v>32</v>
      </c>
      <c r="C41" s="8">
        <v>39</v>
      </c>
      <c r="D41" s="8"/>
      <c r="E41" s="4"/>
    </row>
    <row r="42" spans="1:5" ht="15.75" x14ac:dyDescent="0.25">
      <c r="A42" s="7">
        <v>45577</v>
      </c>
      <c r="B42" s="8">
        <v>40</v>
      </c>
      <c r="C42" s="8">
        <v>50</v>
      </c>
      <c r="D42" s="8"/>
      <c r="E42" s="4"/>
    </row>
    <row r="43" spans="1:5" ht="15.75" x14ac:dyDescent="0.25">
      <c r="A43" s="7">
        <v>45578</v>
      </c>
      <c r="B43" s="8">
        <v>38</v>
      </c>
      <c r="C43" s="8">
        <v>47</v>
      </c>
      <c r="D43" s="8"/>
      <c r="E43" s="4"/>
    </row>
    <row r="44" spans="1:5" ht="15.75" x14ac:dyDescent="0.25">
      <c r="A44" s="7">
        <v>45579</v>
      </c>
      <c r="B44" s="8">
        <v>30</v>
      </c>
      <c r="C44" s="8">
        <v>39</v>
      </c>
      <c r="D44" s="8"/>
      <c r="E44" s="4"/>
    </row>
    <row r="45" spans="1:5" ht="15.75" x14ac:dyDescent="0.25">
      <c r="A45" s="7">
        <v>45580</v>
      </c>
      <c r="B45" s="8">
        <v>27</v>
      </c>
      <c r="C45" s="8">
        <v>38</v>
      </c>
      <c r="D45" s="8"/>
      <c r="E45" s="4"/>
    </row>
    <row r="46" spans="1:5" ht="15.75" x14ac:dyDescent="0.25">
      <c r="A46" s="7">
        <v>45581</v>
      </c>
      <c r="B46" s="8">
        <v>26</v>
      </c>
      <c r="C46" s="8">
        <v>35</v>
      </c>
      <c r="D46" s="8"/>
      <c r="E46" s="4"/>
    </row>
    <row r="47" spans="1:5" ht="15.75" x14ac:dyDescent="0.25">
      <c r="A47" s="7">
        <v>45582</v>
      </c>
      <c r="B47" s="8">
        <v>26</v>
      </c>
      <c r="C47" s="8">
        <v>36</v>
      </c>
      <c r="D47" s="8"/>
      <c r="E47" s="4"/>
    </row>
    <row r="48" spans="1:5" ht="15.75" x14ac:dyDescent="0.25">
      <c r="A48" s="7">
        <v>45583</v>
      </c>
      <c r="B48" s="8">
        <v>29</v>
      </c>
      <c r="C48" s="8">
        <v>36</v>
      </c>
      <c r="D48" s="8"/>
      <c r="E48" s="4"/>
    </row>
    <row r="49" spans="1:5" ht="15.75" x14ac:dyDescent="0.25">
      <c r="A49" s="7">
        <v>45584</v>
      </c>
      <c r="B49" s="8">
        <v>36</v>
      </c>
      <c r="C49" s="8">
        <v>47</v>
      </c>
      <c r="D49" s="8"/>
      <c r="E49" s="4"/>
    </row>
    <row r="50" spans="1:5" ht="15.75" x14ac:dyDescent="0.25">
      <c r="A50" s="7">
        <v>45585</v>
      </c>
      <c r="B50" s="8">
        <v>36</v>
      </c>
      <c r="C50" s="8">
        <v>46</v>
      </c>
      <c r="D50" s="8"/>
      <c r="E50" s="4"/>
    </row>
    <row r="51" spans="1:5" ht="15.75" x14ac:dyDescent="0.25">
      <c r="A51" s="7">
        <v>45586</v>
      </c>
      <c r="B51" s="8">
        <v>27</v>
      </c>
      <c r="C51" s="8">
        <v>34</v>
      </c>
      <c r="D51" s="8"/>
      <c r="E51" s="4"/>
    </row>
    <row r="52" spans="1:5" ht="15.75" x14ac:dyDescent="0.25">
      <c r="A52" s="7">
        <v>45587</v>
      </c>
      <c r="B52" s="8">
        <v>26</v>
      </c>
      <c r="C52" s="8">
        <v>35</v>
      </c>
      <c r="D52" s="8"/>
      <c r="E52" s="4"/>
    </row>
    <row r="53" spans="1:5" ht="15.75" x14ac:dyDescent="0.25">
      <c r="A53" s="7">
        <v>45588</v>
      </c>
      <c r="B53" s="8">
        <v>28</v>
      </c>
      <c r="C53" s="8">
        <v>34</v>
      </c>
      <c r="D53" s="8"/>
      <c r="E53" s="4"/>
    </row>
    <row r="54" spans="1:5" ht="15.75" x14ac:dyDescent="0.25">
      <c r="A54" s="7">
        <v>45589</v>
      </c>
      <c r="B54" s="8">
        <v>30</v>
      </c>
      <c r="C54" s="8">
        <v>41</v>
      </c>
      <c r="D54" s="8"/>
      <c r="E54" s="4"/>
    </row>
    <row r="55" spans="1:5" ht="15.75" x14ac:dyDescent="0.25">
      <c r="A55" s="7">
        <v>45590</v>
      </c>
      <c r="B55" s="8">
        <v>32</v>
      </c>
      <c r="C55" s="8">
        <v>46</v>
      </c>
      <c r="D55" s="8"/>
      <c r="E55" s="4"/>
    </row>
    <row r="56" spans="1:5" ht="15.75" x14ac:dyDescent="0.25">
      <c r="A56" s="7">
        <v>45591</v>
      </c>
      <c r="B56" s="8">
        <v>39</v>
      </c>
      <c r="C56" s="8">
        <v>54</v>
      </c>
      <c r="D56" s="8"/>
      <c r="E56" s="4"/>
    </row>
    <row r="57" spans="1:5" ht="15.75" x14ac:dyDescent="0.25">
      <c r="A57" s="7">
        <v>45592</v>
      </c>
      <c r="B57" s="8">
        <v>40</v>
      </c>
      <c r="C57" s="8">
        <v>54</v>
      </c>
      <c r="D57" s="8"/>
      <c r="E57" s="4"/>
    </row>
    <row r="58" spans="1:5" ht="15.75" x14ac:dyDescent="0.25">
      <c r="A58" s="7">
        <v>45593</v>
      </c>
      <c r="B58" s="8">
        <v>27</v>
      </c>
      <c r="C58" s="8">
        <v>40</v>
      </c>
      <c r="D58" s="8"/>
      <c r="E58" s="4"/>
    </row>
    <row r="59" spans="1:5" ht="15.75" x14ac:dyDescent="0.25">
      <c r="A59" s="7">
        <v>45594</v>
      </c>
      <c r="B59" s="8">
        <v>29</v>
      </c>
      <c r="C59" s="8">
        <v>36</v>
      </c>
      <c r="D59" s="8"/>
      <c r="E59" s="4"/>
    </row>
    <row r="60" spans="1:5" ht="15.75" x14ac:dyDescent="0.25">
      <c r="A60" s="7">
        <v>45595</v>
      </c>
      <c r="B60" s="8">
        <v>27</v>
      </c>
      <c r="C60" s="8">
        <v>36</v>
      </c>
      <c r="D60" s="8"/>
      <c r="E60" s="4"/>
    </row>
    <row r="61" spans="1:5" ht="15.75" x14ac:dyDescent="0.25">
      <c r="A61" s="7">
        <v>45596</v>
      </c>
      <c r="B61" s="8">
        <v>26</v>
      </c>
      <c r="C61" s="8">
        <v>35</v>
      </c>
      <c r="D61" s="8"/>
      <c r="E61" s="4"/>
    </row>
    <row r="62" spans="1:5" ht="15.75" x14ac:dyDescent="0.25">
      <c r="A62" s="7">
        <v>45597</v>
      </c>
      <c r="B62" s="8">
        <v>28</v>
      </c>
      <c r="C62" s="8">
        <v>41</v>
      </c>
      <c r="D62" s="8"/>
      <c r="E62" s="4"/>
    </row>
    <row r="63" spans="1:5" ht="15.75" x14ac:dyDescent="0.25">
      <c r="A63" s="7">
        <v>45598</v>
      </c>
      <c r="B63" s="8">
        <v>43</v>
      </c>
      <c r="C63" s="8">
        <v>58</v>
      </c>
      <c r="D63" s="8"/>
      <c r="E63" s="4"/>
    </row>
    <row r="64" spans="1:5" ht="15.75" x14ac:dyDescent="0.25">
      <c r="A64" s="7">
        <v>45599</v>
      </c>
      <c r="B64" s="8">
        <v>44</v>
      </c>
      <c r="C64" s="8">
        <v>60</v>
      </c>
      <c r="D64" s="8"/>
      <c r="E64" s="4"/>
    </row>
    <row r="65" spans="1:5" ht="15.75" x14ac:dyDescent="0.25">
      <c r="A65" s="7">
        <v>45600</v>
      </c>
      <c r="B65" s="8">
        <v>32</v>
      </c>
      <c r="C65" s="8">
        <v>42</v>
      </c>
      <c r="D65" s="8"/>
      <c r="E65" s="4"/>
    </row>
    <row r="66" spans="1:5" ht="15.75" x14ac:dyDescent="0.25">
      <c r="A66" s="7">
        <v>45601</v>
      </c>
      <c r="B66" s="8">
        <v>30</v>
      </c>
      <c r="C66" s="8">
        <v>38</v>
      </c>
      <c r="D66" s="8"/>
      <c r="E66" s="4"/>
    </row>
    <row r="67" spans="1:5" ht="15.75" x14ac:dyDescent="0.25">
      <c r="A67" s="7">
        <v>45602</v>
      </c>
      <c r="B67" s="8">
        <v>22</v>
      </c>
      <c r="C67" s="8">
        <v>27</v>
      </c>
      <c r="D67" s="8"/>
      <c r="E67" s="4"/>
    </row>
    <row r="68" spans="1:5" ht="15.75" x14ac:dyDescent="0.25">
      <c r="A68" s="7">
        <v>45603</v>
      </c>
      <c r="B68" s="8">
        <v>36</v>
      </c>
      <c r="C68" s="8">
        <v>38</v>
      </c>
      <c r="D68" s="8"/>
      <c r="E68" s="4"/>
    </row>
    <row r="69" spans="1:5" ht="15.75" x14ac:dyDescent="0.25">
      <c r="A69" s="7">
        <v>45604</v>
      </c>
      <c r="B69" s="8">
        <v>42</v>
      </c>
      <c r="C69" s="8">
        <v>42</v>
      </c>
      <c r="D69" s="8"/>
      <c r="E69" s="4"/>
    </row>
    <row r="70" spans="1:5" ht="15.75" x14ac:dyDescent="0.25">
      <c r="A70" s="7">
        <v>45605</v>
      </c>
      <c r="B70" s="8">
        <v>49</v>
      </c>
      <c r="C70" s="8">
        <v>55</v>
      </c>
      <c r="D70" s="8"/>
      <c r="E70" s="4"/>
    </row>
    <row r="71" spans="1:5" ht="15.75" x14ac:dyDescent="0.25">
      <c r="A71" s="7">
        <v>45606</v>
      </c>
      <c r="B71" s="8">
        <v>48</v>
      </c>
      <c r="C71" s="8">
        <v>57</v>
      </c>
      <c r="D71" s="8"/>
      <c r="E71" s="4"/>
    </row>
    <row r="72" spans="1:5" ht="15.75" x14ac:dyDescent="0.25">
      <c r="A72" s="7">
        <v>45607</v>
      </c>
      <c r="B72" s="8">
        <v>41</v>
      </c>
      <c r="C72" s="8">
        <v>47</v>
      </c>
      <c r="D72" s="8"/>
      <c r="E72" s="4"/>
    </row>
    <row r="73" spans="1:5" ht="15.75" x14ac:dyDescent="0.25">
      <c r="A73" s="7">
        <v>45608</v>
      </c>
      <c r="B73" s="8">
        <v>35</v>
      </c>
      <c r="C73" s="8">
        <v>41</v>
      </c>
      <c r="D73" s="8"/>
      <c r="E73" s="4"/>
    </row>
    <row r="74" spans="1:5" ht="15.75" x14ac:dyDescent="0.25">
      <c r="A74" s="7">
        <v>45609</v>
      </c>
      <c r="B74" s="8">
        <v>37</v>
      </c>
      <c r="C74" s="8">
        <v>48</v>
      </c>
      <c r="D74" s="8"/>
      <c r="E74" s="4"/>
    </row>
    <row r="75" spans="1:5" ht="15.75" x14ac:dyDescent="0.25">
      <c r="A75" s="7">
        <v>45610</v>
      </c>
      <c r="B75" s="8">
        <v>35</v>
      </c>
      <c r="C75" s="8">
        <v>46</v>
      </c>
      <c r="D75" s="8"/>
      <c r="E75" s="4"/>
    </row>
    <row r="76" spans="1:5" ht="15.75" x14ac:dyDescent="0.25">
      <c r="A76" s="7">
        <v>45611</v>
      </c>
      <c r="B76" s="8">
        <v>35</v>
      </c>
      <c r="C76" s="8">
        <v>47</v>
      </c>
      <c r="D76" s="8"/>
      <c r="E76" s="4"/>
    </row>
    <row r="77" spans="1:5" ht="15.75" x14ac:dyDescent="0.25">
      <c r="A77" s="7">
        <v>45612</v>
      </c>
      <c r="B77" s="8">
        <v>43</v>
      </c>
      <c r="C77" s="8">
        <v>54</v>
      </c>
      <c r="D77" s="8"/>
      <c r="E77" s="4"/>
    </row>
    <row r="78" spans="1:5" ht="15.75" x14ac:dyDescent="0.25">
      <c r="A78" s="7">
        <v>45613</v>
      </c>
      <c r="B78" s="8">
        <v>47</v>
      </c>
      <c r="C78" s="8">
        <v>61</v>
      </c>
      <c r="D78" s="8"/>
      <c r="E78" s="4"/>
    </row>
    <row r="79" spans="1:5" ht="15.75" x14ac:dyDescent="0.25">
      <c r="A79" s="7">
        <v>45614</v>
      </c>
      <c r="B79" s="8">
        <v>36</v>
      </c>
      <c r="C79" s="8">
        <v>46</v>
      </c>
      <c r="D79" s="8"/>
      <c r="E79" s="4"/>
    </row>
    <row r="80" spans="1:5" ht="15.75" x14ac:dyDescent="0.25">
      <c r="A80" s="7">
        <v>45615</v>
      </c>
      <c r="B80" s="8">
        <v>32</v>
      </c>
      <c r="C80" s="8">
        <v>43</v>
      </c>
      <c r="D80" s="8"/>
      <c r="E80" s="4"/>
    </row>
    <row r="81" spans="1:5" ht="15.75" x14ac:dyDescent="0.25">
      <c r="A81" s="7">
        <v>45616</v>
      </c>
      <c r="B81" s="8">
        <v>36</v>
      </c>
      <c r="C81" s="8">
        <v>47</v>
      </c>
      <c r="D81" s="8"/>
      <c r="E81" s="4"/>
    </row>
    <row r="82" spans="1:5" ht="15.75" x14ac:dyDescent="0.25">
      <c r="A82" s="7">
        <v>45617</v>
      </c>
      <c r="B82" s="8">
        <v>45</v>
      </c>
      <c r="C82" s="8">
        <v>48</v>
      </c>
      <c r="D82" s="8"/>
      <c r="E82" s="4"/>
    </row>
    <row r="83" spans="1:5" ht="15.75" x14ac:dyDescent="0.25">
      <c r="A83" s="7">
        <v>45618</v>
      </c>
      <c r="B83" s="8">
        <v>54</v>
      </c>
      <c r="C83" s="8">
        <v>53</v>
      </c>
      <c r="D83" s="8"/>
      <c r="E83" s="4"/>
    </row>
    <row r="84" spans="1:5" ht="15.75" x14ac:dyDescent="0.25">
      <c r="A84" s="7">
        <v>45619</v>
      </c>
      <c r="B84" s="8">
        <v>63</v>
      </c>
      <c r="C84" s="8">
        <v>70</v>
      </c>
      <c r="D84" s="8"/>
      <c r="E84" s="4"/>
    </row>
    <row r="85" spans="1:5" ht="15.75" x14ac:dyDescent="0.25">
      <c r="A85" s="7">
        <v>45620</v>
      </c>
      <c r="B85" s="8">
        <v>64</v>
      </c>
      <c r="C85" s="8">
        <v>68</v>
      </c>
      <c r="D85" s="8"/>
      <c r="E85" s="4"/>
    </row>
    <row r="86" spans="1:5" ht="15.75" x14ac:dyDescent="0.25">
      <c r="A86" s="7">
        <v>45621</v>
      </c>
      <c r="B86" s="8">
        <v>52</v>
      </c>
      <c r="C86" s="8">
        <v>56</v>
      </c>
      <c r="D86" s="8"/>
      <c r="E86" s="4"/>
    </row>
    <row r="87" spans="1:5" ht="15.75" x14ac:dyDescent="0.25">
      <c r="A87" s="7">
        <v>45622</v>
      </c>
      <c r="B87" s="8">
        <v>53</v>
      </c>
      <c r="C87" s="8">
        <v>57</v>
      </c>
      <c r="D87" s="8"/>
      <c r="E87" s="4"/>
    </row>
    <row r="88" spans="1:5" ht="15.75" x14ac:dyDescent="0.25">
      <c r="A88" s="7">
        <v>45623</v>
      </c>
      <c r="B88" s="8">
        <v>57</v>
      </c>
      <c r="C88" s="8">
        <v>64</v>
      </c>
      <c r="D88" s="8"/>
      <c r="E88" s="4"/>
    </row>
    <row r="89" spans="1:5" ht="15.75" x14ac:dyDescent="0.25">
      <c r="A89" s="7">
        <v>45624</v>
      </c>
      <c r="B89" s="8">
        <v>66</v>
      </c>
      <c r="C89" s="8">
        <v>77</v>
      </c>
      <c r="D89" s="8"/>
      <c r="E89" s="4"/>
    </row>
    <row r="90" spans="1:5" ht="15.75" x14ac:dyDescent="0.25">
      <c r="A90" s="7">
        <v>45625</v>
      </c>
      <c r="B90" s="8">
        <v>98</v>
      </c>
      <c r="C90" s="8">
        <v>100</v>
      </c>
      <c r="D90" s="8"/>
      <c r="E90" s="4"/>
    </row>
    <row r="91" spans="1:5" ht="15.75" x14ac:dyDescent="0.25">
      <c r="A91" s="7">
        <v>45626</v>
      </c>
      <c r="B91" s="8">
        <v>79</v>
      </c>
      <c r="C91" s="8">
        <v>86</v>
      </c>
      <c r="D91" s="8"/>
      <c r="E91" s="4"/>
    </row>
    <row r="92" spans="1:5" ht="15.75" x14ac:dyDescent="0.25">
      <c r="A92" s="7">
        <v>45627</v>
      </c>
      <c r="B92" s="8">
        <v>73</v>
      </c>
      <c r="C92" s="8">
        <v>83</v>
      </c>
      <c r="D92" s="8"/>
      <c r="E92" s="4"/>
    </row>
    <row r="93" spans="1:5" ht="15.75" x14ac:dyDescent="0.25">
      <c r="A93" s="7">
        <v>45628</v>
      </c>
      <c r="B93" s="8">
        <v>61</v>
      </c>
      <c r="C93" s="8">
        <v>63</v>
      </c>
      <c r="D93" s="8"/>
      <c r="E93" s="4"/>
    </row>
    <row r="94" spans="1:5" ht="15.75" x14ac:dyDescent="0.25">
      <c r="A94" s="7">
        <v>45629</v>
      </c>
      <c r="B94" s="8">
        <v>51</v>
      </c>
      <c r="C94" s="8">
        <v>52</v>
      </c>
      <c r="D94" s="8"/>
      <c r="E94" s="4"/>
    </row>
    <row r="95" spans="1:5" ht="15.75" x14ac:dyDescent="0.25">
      <c r="A95" s="7">
        <v>45630</v>
      </c>
      <c r="B95" s="8">
        <v>44</v>
      </c>
      <c r="C95" s="8">
        <v>49</v>
      </c>
      <c r="D95" s="8"/>
      <c r="E95" s="4"/>
    </row>
  </sheetData>
  <pageMargins left="0.7" right="0.7" top="0.75" bottom="0.75" header="0.3" footer="0.3"/>
  <pageSetup orientation="landscape" r:id="rId1"/>
  <headerFooter>
    <oddHeader>&amp;C&amp;"-,Bold"&amp;12Jesse Xiong</oddHeader>
    <oddFooter>&amp;L&amp;"-,Bold"&amp;12Final Comprehensive Analysis: Ps5 vs Xbox&amp;C&amp;"-,Bold"&amp;12Jesse Xiong</oddFooter>
  </headerFooter>
  <extLst>
    <ext xmlns:x14="http://schemas.microsoft.com/office/spreadsheetml/2009/9/main" uri="{05C60535-1F16-4fd2-B633-F4F36F0B64E0}">
      <x14:sparklineGroups xmlns:xm="http://schemas.microsoft.com/office/excel/2006/main">
        <x14:sparklineGroup displayEmptyCellsAs="gap" xr2:uid="{D1A05E80-0675-4CE2-9EC7-D8F63FB7966D}">
          <x14:colorSeries rgb="FF376092"/>
          <x14:colorNegative rgb="FFD00000"/>
          <x14:colorAxis rgb="FF000000"/>
          <x14:colorMarkers rgb="FFD00000"/>
          <x14:colorFirst rgb="FFD00000"/>
          <x14:colorLast rgb="FFD00000"/>
          <x14:colorHigh rgb="FFD00000"/>
          <x14:colorLow rgb="FFD00000"/>
          <x14:sparklines>
            <x14:sparkline>
              <xm:f>Sparkline!B4:C4</xm:f>
              <xm:sqref>D4</xm:sqref>
            </x14:sparkline>
            <x14:sparkline>
              <xm:f>Sparkline!B5:C5</xm:f>
              <xm:sqref>D5</xm:sqref>
            </x14:sparkline>
            <x14:sparkline>
              <xm:f>Sparkline!B6:C6</xm:f>
              <xm:sqref>D6</xm:sqref>
            </x14:sparkline>
            <x14:sparkline>
              <xm:f>Sparkline!B7:C7</xm:f>
              <xm:sqref>D7</xm:sqref>
            </x14:sparkline>
            <x14:sparkline>
              <xm:f>Sparkline!B8:C8</xm:f>
              <xm:sqref>D8</xm:sqref>
            </x14:sparkline>
            <x14:sparkline>
              <xm:f>Sparkline!B9:C9</xm:f>
              <xm:sqref>D9</xm:sqref>
            </x14:sparkline>
            <x14:sparkline>
              <xm:f>Sparkline!B10:C10</xm:f>
              <xm:sqref>D10</xm:sqref>
            </x14:sparkline>
            <x14:sparkline>
              <xm:f>Sparkline!B11:C11</xm:f>
              <xm:sqref>D11</xm:sqref>
            </x14:sparkline>
            <x14:sparkline>
              <xm:f>Sparkline!B12:C12</xm:f>
              <xm:sqref>D12</xm:sqref>
            </x14:sparkline>
            <x14:sparkline>
              <xm:f>Sparkline!B13:C13</xm:f>
              <xm:sqref>D13</xm:sqref>
            </x14:sparkline>
            <x14:sparkline>
              <xm:f>Sparkline!B14:C14</xm:f>
              <xm:sqref>D14</xm:sqref>
            </x14:sparkline>
            <x14:sparkline>
              <xm:f>Sparkline!B15:C15</xm:f>
              <xm:sqref>D15</xm:sqref>
            </x14:sparkline>
            <x14:sparkline>
              <xm:f>Sparkline!B16:C16</xm:f>
              <xm:sqref>D16</xm:sqref>
            </x14:sparkline>
            <x14:sparkline>
              <xm:f>Sparkline!B17:C17</xm:f>
              <xm:sqref>D17</xm:sqref>
            </x14:sparkline>
            <x14:sparkline>
              <xm:f>Sparkline!B18:C18</xm:f>
              <xm:sqref>D18</xm:sqref>
            </x14:sparkline>
            <x14:sparkline>
              <xm:f>Sparkline!B19:C19</xm:f>
              <xm:sqref>D19</xm:sqref>
            </x14:sparkline>
            <x14:sparkline>
              <xm:f>Sparkline!B20:C20</xm:f>
              <xm:sqref>D20</xm:sqref>
            </x14:sparkline>
            <x14:sparkline>
              <xm:f>Sparkline!B21:C21</xm:f>
              <xm:sqref>D21</xm:sqref>
            </x14:sparkline>
            <x14:sparkline>
              <xm:f>Sparkline!B22:C22</xm:f>
              <xm:sqref>D22</xm:sqref>
            </x14:sparkline>
            <x14:sparkline>
              <xm:f>Sparkline!B23:C23</xm:f>
              <xm:sqref>D23</xm:sqref>
            </x14:sparkline>
            <x14:sparkline>
              <xm:f>Sparkline!B24:C24</xm:f>
              <xm:sqref>D24</xm:sqref>
            </x14:sparkline>
            <x14:sparkline>
              <xm:f>Sparkline!B25:C25</xm:f>
              <xm:sqref>D25</xm:sqref>
            </x14:sparkline>
            <x14:sparkline>
              <xm:f>Sparkline!B26:C26</xm:f>
              <xm:sqref>D26</xm:sqref>
            </x14:sparkline>
            <x14:sparkline>
              <xm:f>Sparkline!B27:C27</xm:f>
              <xm:sqref>D27</xm:sqref>
            </x14:sparkline>
            <x14:sparkline>
              <xm:f>Sparkline!B28:C28</xm:f>
              <xm:sqref>D28</xm:sqref>
            </x14:sparkline>
            <x14:sparkline>
              <xm:f>Sparkline!B29:C29</xm:f>
              <xm:sqref>D29</xm:sqref>
            </x14:sparkline>
            <x14:sparkline>
              <xm:f>Sparkline!B30:C30</xm:f>
              <xm:sqref>D30</xm:sqref>
            </x14:sparkline>
            <x14:sparkline>
              <xm:f>Sparkline!B31:C31</xm:f>
              <xm:sqref>D31</xm:sqref>
            </x14:sparkline>
            <x14:sparkline>
              <xm:f>Sparkline!B32:C32</xm:f>
              <xm:sqref>D32</xm:sqref>
            </x14:sparkline>
            <x14:sparkline>
              <xm:f>Sparkline!B33:C33</xm:f>
              <xm:sqref>D33</xm:sqref>
            </x14:sparkline>
            <x14:sparkline>
              <xm:f>Sparkline!B34:C34</xm:f>
              <xm:sqref>D34</xm:sqref>
            </x14:sparkline>
            <x14:sparkline>
              <xm:f>Sparkline!B35:C35</xm:f>
              <xm:sqref>D35</xm:sqref>
            </x14:sparkline>
            <x14:sparkline>
              <xm:f>Sparkline!B36:C36</xm:f>
              <xm:sqref>D36</xm:sqref>
            </x14:sparkline>
            <x14:sparkline>
              <xm:f>Sparkline!B37:C37</xm:f>
              <xm:sqref>D37</xm:sqref>
            </x14:sparkline>
            <x14:sparkline>
              <xm:f>Sparkline!B38:C38</xm:f>
              <xm:sqref>D38</xm:sqref>
            </x14:sparkline>
            <x14:sparkline>
              <xm:f>Sparkline!B39:C39</xm:f>
              <xm:sqref>D39</xm:sqref>
            </x14:sparkline>
            <x14:sparkline>
              <xm:f>Sparkline!B40:C40</xm:f>
              <xm:sqref>D40</xm:sqref>
            </x14:sparkline>
            <x14:sparkline>
              <xm:f>Sparkline!B41:C41</xm:f>
              <xm:sqref>D41</xm:sqref>
            </x14:sparkline>
            <x14:sparkline>
              <xm:f>Sparkline!B42:C42</xm:f>
              <xm:sqref>D42</xm:sqref>
            </x14:sparkline>
            <x14:sparkline>
              <xm:f>Sparkline!B43:C43</xm:f>
              <xm:sqref>D43</xm:sqref>
            </x14:sparkline>
            <x14:sparkline>
              <xm:f>Sparkline!B44:C44</xm:f>
              <xm:sqref>D44</xm:sqref>
            </x14:sparkline>
            <x14:sparkline>
              <xm:f>Sparkline!B45:C45</xm:f>
              <xm:sqref>D45</xm:sqref>
            </x14:sparkline>
            <x14:sparkline>
              <xm:f>Sparkline!B46:C46</xm:f>
              <xm:sqref>D46</xm:sqref>
            </x14:sparkline>
            <x14:sparkline>
              <xm:f>Sparkline!B47:C47</xm:f>
              <xm:sqref>D47</xm:sqref>
            </x14:sparkline>
            <x14:sparkline>
              <xm:f>Sparkline!B48:C48</xm:f>
              <xm:sqref>D48</xm:sqref>
            </x14:sparkline>
            <x14:sparkline>
              <xm:f>Sparkline!B49:C49</xm:f>
              <xm:sqref>D49</xm:sqref>
            </x14:sparkline>
            <x14:sparkline>
              <xm:f>Sparkline!B50:C50</xm:f>
              <xm:sqref>D50</xm:sqref>
            </x14:sparkline>
            <x14:sparkline>
              <xm:f>Sparkline!B51:C51</xm:f>
              <xm:sqref>D51</xm:sqref>
            </x14:sparkline>
            <x14:sparkline>
              <xm:f>Sparkline!B52:C52</xm:f>
              <xm:sqref>D52</xm:sqref>
            </x14:sparkline>
            <x14:sparkline>
              <xm:f>Sparkline!B53:C53</xm:f>
              <xm:sqref>D53</xm:sqref>
            </x14:sparkline>
            <x14:sparkline>
              <xm:f>Sparkline!B54:C54</xm:f>
              <xm:sqref>D54</xm:sqref>
            </x14:sparkline>
            <x14:sparkline>
              <xm:f>Sparkline!B55:C55</xm:f>
              <xm:sqref>D55</xm:sqref>
            </x14:sparkline>
            <x14:sparkline>
              <xm:f>Sparkline!B56:C56</xm:f>
              <xm:sqref>D56</xm:sqref>
            </x14:sparkline>
            <x14:sparkline>
              <xm:f>Sparkline!B57:C57</xm:f>
              <xm:sqref>D57</xm:sqref>
            </x14:sparkline>
            <x14:sparkline>
              <xm:f>Sparkline!B58:C58</xm:f>
              <xm:sqref>D58</xm:sqref>
            </x14:sparkline>
            <x14:sparkline>
              <xm:f>Sparkline!B59:C59</xm:f>
              <xm:sqref>D59</xm:sqref>
            </x14:sparkline>
            <x14:sparkline>
              <xm:f>Sparkline!B60:C60</xm:f>
              <xm:sqref>D60</xm:sqref>
            </x14:sparkline>
            <x14:sparkline>
              <xm:f>Sparkline!B61:C61</xm:f>
              <xm:sqref>D61</xm:sqref>
            </x14:sparkline>
            <x14:sparkline>
              <xm:f>Sparkline!B62:C62</xm:f>
              <xm:sqref>D62</xm:sqref>
            </x14:sparkline>
            <x14:sparkline>
              <xm:f>Sparkline!B63:C63</xm:f>
              <xm:sqref>D63</xm:sqref>
            </x14:sparkline>
            <x14:sparkline>
              <xm:f>Sparkline!B64:C64</xm:f>
              <xm:sqref>D64</xm:sqref>
            </x14:sparkline>
            <x14:sparkline>
              <xm:f>Sparkline!B65:C65</xm:f>
              <xm:sqref>D65</xm:sqref>
            </x14:sparkline>
            <x14:sparkline>
              <xm:f>Sparkline!B66:C66</xm:f>
              <xm:sqref>D66</xm:sqref>
            </x14:sparkline>
            <x14:sparkline>
              <xm:f>Sparkline!B67:C67</xm:f>
              <xm:sqref>D67</xm:sqref>
            </x14:sparkline>
            <x14:sparkline>
              <xm:f>Sparkline!B68:C68</xm:f>
              <xm:sqref>D68</xm:sqref>
            </x14:sparkline>
            <x14:sparkline>
              <xm:f>Sparkline!B69:C69</xm:f>
              <xm:sqref>D69</xm:sqref>
            </x14:sparkline>
            <x14:sparkline>
              <xm:f>Sparkline!B70:C70</xm:f>
              <xm:sqref>D70</xm:sqref>
            </x14:sparkline>
            <x14:sparkline>
              <xm:f>Sparkline!B71:C71</xm:f>
              <xm:sqref>D71</xm:sqref>
            </x14:sparkline>
            <x14:sparkline>
              <xm:f>Sparkline!B72:C72</xm:f>
              <xm:sqref>D72</xm:sqref>
            </x14:sparkline>
            <x14:sparkline>
              <xm:f>Sparkline!B73:C73</xm:f>
              <xm:sqref>D73</xm:sqref>
            </x14:sparkline>
            <x14:sparkline>
              <xm:f>Sparkline!B74:C74</xm:f>
              <xm:sqref>D74</xm:sqref>
            </x14:sparkline>
            <x14:sparkline>
              <xm:f>Sparkline!B75:C75</xm:f>
              <xm:sqref>D75</xm:sqref>
            </x14:sparkline>
            <x14:sparkline>
              <xm:f>Sparkline!B76:C76</xm:f>
              <xm:sqref>D76</xm:sqref>
            </x14:sparkline>
            <x14:sparkline>
              <xm:f>Sparkline!B77:C77</xm:f>
              <xm:sqref>D77</xm:sqref>
            </x14:sparkline>
            <x14:sparkline>
              <xm:f>Sparkline!B78:C78</xm:f>
              <xm:sqref>D78</xm:sqref>
            </x14:sparkline>
            <x14:sparkline>
              <xm:f>Sparkline!B79:C79</xm:f>
              <xm:sqref>D79</xm:sqref>
            </x14:sparkline>
            <x14:sparkline>
              <xm:f>Sparkline!B80:C80</xm:f>
              <xm:sqref>D80</xm:sqref>
            </x14:sparkline>
            <x14:sparkline>
              <xm:f>Sparkline!B81:C81</xm:f>
              <xm:sqref>D81</xm:sqref>
            </x14:sparkline>
            <x14:sparkline>
              <xm:f>Sparkline!B82:C82</xm:f>
              <xm:sqref>D82</xm:sqref>
            </x14:sparkline>
            <x14:sparkline>
              <xm:f>Sparkline!B83:C83</xm:f>
              <xm:sqref>D83</xm:sqref>
            </x14:sparkline>
            <x14:sparkline>
              <xm:f>Sparkline!B84:C84</xm:f>
              <xm:sqref>D84</xm:sqref>
            </x14:sparkline>
            <x14:sparkline>
              <xm:f>Sparkline!B85:C85</xm:f>
              <xm:sqref>D85</xm:sqref>
            </x14:sparkline>
            <x14:sparkline>
              <xm:f>Sparkline!B86:C86</xm:f>
              <xm:sqref>D86</xm:sqref>
            </x14:sparkline>
            <x14:sparkline>
              <xm:f>Sparkline!B87:C87</xm:f>
              <xm:sqref>D87</xm:sqref>
            </x14:sparkline>
            <x14:sparkline>
              <xm:f>Sparkline!B88:C88</xm:f>
              <xm:sqref>D88</xm:sqref>
            </x14:sparkline>
            <x14:sparkline>
              <xm:f>Sparkline!B89:C89</xm:f>
              <xm:sqref>D89</xm:sqref>
            </x14:sparkline>
            <x14:sparkline>
              <xm:f>Sparkline!B90:C90</xm:f>
              <xm:sqref>D90</xm:sqref>
            </x14:sparkline>
            <x14:sparkline>
              <xm:f>Sparkline!B91:C91</xm:f>
              <xm:sqref>D91</xm:sqref>
            </x14:sparkline>
            <x14:sparkline>
              <xm:f>Sparkline!B92:C92</xm:f>
              <xm:sqref>D92</xm:sqref>
            </x14:sparkline>
            <x14:sparkline>
              <xm:f>Sparkline!B93:C93</xm:f>
              <xm:sqref>D93</xm:sqref>
            </x14:sparkline>
            <x14:sparkline>
              <xm:f>Sparkline!B94:C94</xm:f>
              <xm:sqref>D94</xm:sqref>
            </x14:sparkline>
            <x14:sparkline>
              <xm:f>Sparkline!B95:C95</xm:f>
              <xm:sqref>D95</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vt:lpstr>
      <vt:lpstr>Raw Data</vt:lpstr>
      <vt:lpstr>Av,Min,Max,Med,Mde,Cnt</vt:lpstr>
      <vt:lpstr>IF Functions,Frequency,SUM</vt:lpstr>
      <vt:lpstr>Vloopup,INdexMatch,ConFormat</vt:lpstr>
      <vt:lpstr>Visualizations</vt:lpstr>
      <vt:lpstr>Sparkline</vt:lpstr>
      <vt:lpstr>lookup</vt:lpstr>
      <vt:lpstr>'Av,Min,Max,Med,Mde,Cnt'!Print_Area</vt:lpstr>
      <vt:lpstr>Summary!Print_Area</vt:lpstr>
      <vt:lpstr>'Vloopup,INdexMatch,ConFormat'!Print_Area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Xiong</dc:creator>
  <cp:lastModifiedBy>Jesse Xiong</cp:lastModifiedBy>
  <cp:lastPrinted>2024-12-09T01:03:53Z</cp:lastPrinted>
  <dcterms:created xsi:type="dcterms:W3CDTF">2024-12-05T00:35:09Z</dcterms:created>
  <dcterms:modified xsi:type="dcterms:W3CDTF">2024-12-09T01:06:32Z</dcterms:modified>
</cp:coreProperties>
</file>