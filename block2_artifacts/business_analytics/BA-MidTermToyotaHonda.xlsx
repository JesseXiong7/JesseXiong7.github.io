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202300"/>
  <mc:AlternateContent xmlns:mc="http://schemas.openxmlformats.org/markup-compatibility/2006">
    <mc:Choice Requires="x15">
      <x15ac:absPath xmlns:x15ac="http://schemas.microsoft.com/office/spreadsheetml/2010/11/ac" url="https://d.docs.live.net/4f4c64f11a6f4c48/CVTC2SEM/2-BA/Module8/"/>
    </mc:Choice>
  </mc:AlternateContent>
  <xr:revisionPtr revIDLastSave="391" documentId="6_{EC0D3F97-C266-499D-884A-8DE25D34EA44}" xr6:coauthVersionLast="47" xr6:coauthVersionMax="47" xr10:uidLastSave="{DA38800D-5061-41B0-B023-ACE297BEBAC9}"/>
  <bookViews>
    <workbookView xWindow="14400" yWindow="0" windowWidth="14400" windowHeight="15600" xr2:uid="{467D7284-CAA4-413F-BC42-DDA536E77DC1}"/>
  </bookViews>
  <sheets>
    <sheet name="Summary" sheetId="8" r:id="rId1"/>
    <sheet name="Raw Data" sheetId="1" r:id="rId2"/>
    <sheet name="Avg,Min,Max,Median,Mode,Count" sheetId="2" r:id="rId3"/>
    <sheet name="CountIF,Frequency" sheetId="3" r:id="rId4"/>
    <sheet name="Vlookup,INdexMatch" sheetId="4" r:id="rId5"/>
    <sheet name="SumIF,AvgIF" sheetId="5" r:id="rId6"/>
    <sheet name="Charts and Visualization" sheetId="6" r:id="rId7"/>
  </sheets>
  <definedNames>
    <definedName name="_xlnm.Print_Area" localSheetId="2">'Avg,Min,Max,Median,Mode,Count'!$A$3:$H$98</definedName>
    <definedName name="_xlnm.Print_Area" localSheetId="6">'Charts and Visualization'!$A$3:$I$98</definedName>
    <definedName name="_xlnm.Print_Area" localSheetId="3">'CountIF,Frequency'!$A$3:$H$98</definedName>
    <definedName name="_xlnm.Print_Area" localSheetId="5">'SumIF,AvgIF'!$A$3:$G$98</definedName>
    <definedName name="_xlnm.Print_Area" localSheetId="0">Summary!$A$1:$K$41</definedName>
    <definedName name="_xlnm.Print_Area" localSheetId="4">'Vlookup,INdexMatch'!$A$3:$H$110</definedName>
    <definedName name="Scale">'Vlookup,INdexMatch'!$F$12:$G$16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2" i="3" l="1" a="1"/>
  <c r="F12" i="3" s="1"/>
  <c r="G7" i="4"/>
  <c r="D4" i="4"/>
  <c r="C97" i="6"/>
  <c r="B97" i="6"/>
  <c r="C97" i="5"/>
  <c r="B97" i="5"/>
  <c r="C97" i="3"/>
  <c r="B97" i="3"/>
  <c r="F11" i="5"/>
  <c r="F12" i="5"/>
  <c r="F10" i="5"/>
  <c r="F9" i="5"/>
  <c r="F8" i="5"/>
  <c r="F7" i="5"/>
  <c r="F6" i="5"/>
  <c r="F5" i="5"/>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C97" i="4"/>
  <c r="B97" i="4"/>
  <c r="C97" i="2"/>
  <c r="B97" i="2"/>
  <c r="G9" i="2"/>
  <c r="G8" i="2"/>
  <c r="G7" i="2"/>
  <c r="G6" i="2"/>
  <c r="G5" i="2"/>
  <c r="G4" i="2"/>
  <c r="F9" i="2"/>
  <c r="F8" i="2"/>
  <c r="F7" i="2"/>
  <c r="F6" i="2"/>
  <c r="F5" i="2"/>
  <c r="F4" i="2"/>
  <c r="G12" i="3" a="1"/>
  <c r="G12" i="3" s="1"/>
  <c r="G29" i="3"/>
  <c r="G28" i="3"/>
  <c r="G27" i="3"/>
  <c r="G26" i="3"/>
  <c r="F29" i="3"/>
  <c r="F28" i="3"/>
  <c r="F27" i="3"/>
  <c r="F26" i="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<sst xmlns="http://schemas.openxmlformats.org/spreadsheetml/2006/main" count="120" uniqueCount="91">
  <si>
    <t>Category: Autos &amp; Vehicles</t>
  </si>
  <si>
    <t>toyota: (United States)</t>
  </si>
  <si>
    <t>honda: (United States)</t>
  </si>
  <si>
    <t>Date</t>
  </si>
  <si>
    <t>Average</t>
  </si>
  <si>
    <t>Min</t>
  </si>
  <si>
    <t>Max</t>
  </si>
  <si>
    <t>Median</t>
  </si>
  <si>
    <t>Mode</t>
  </si>
  <si>
    <t>Count</t>
  </si>
  <si>
    <t>Score Ranges</t>
  </si>
  <si>
    <t>Honda Searches</t>
  </si>
  <si>
    <t>60-69</t>
  </si>
  <si>
    <t>70-79</t>
  </si>
  <si>
    <t>80-89</t>
  </si>
  <si>
    <t>90-100</t>
  </si>
  <si>
    <t>CountIF</t>
  </si>
  <si>
    <t>Toyota Searches</t>
  </si>
  <si>
    <t>Frequency</t>
  </si>
  <si>
    <t>Toyota</t>
  </si>
  <si>
    <t>Honda</t>
  </si>
  <si>
    <t>Function</t>
  </si>
  <si>
    <t>TOTAL</t>
  </si>
  <si>
    <t>Honda: (United States)</t>
  </si>
  <si>
    <t>Toyota: (United States)</t>
  </si>
  <si>
    <t>Interest Type</t>
  </si>
  <si>
    <t>Interest Value</t>
  </si>
  <si>
    <t>INdexMatch</t>
  </si>
  <si>
    <t>Vlookup</t>
  </si>
  <si>
    <t>Scale</t>
  </si>
  <si>
    <t>Interest</t>
  </si>
  <si>
    <t>No interest</t>
  </si>
  <si>
    <t>Little Interest</t>
  </si>
  <si>
    <t>Average Interest</t>
  </si>
  <si>
    <t>Above average interest</t>
  </si>
  <si>
    <t>High Interest</t>
  </si>
  <si>
    <t>Interest Scale for Toyota</t>
  </si>
  <si>
    <t>Interest Scale for Honda</t>
  </si>
  <si>
    <t>Summary</t>
  </si>
  <si>
    <t>Formula</t>
  </si>
  <si>
    <t>Total Toyota</t>
  </si>
  <si>
    <t>Total Honda</t>
  </si>
  <si>
    <t>Average Toyota</t>
  </si>
  <si>
    <t>Average Honda</t>
  </si>
  <si>
    <t>Total Toyota &gt;80</t>
  </si>
  <si>
    <t>Total Honda &gt;80</t>
  </si>
  <si>
    <t>Average Toyota&gt;80</t>
  </si>
  <si>
    <t>Average Honda &gt;80</t>
  </si>
  <si>
    <t>SumIF and AverageIF</t>
  </si>
  <si>
    <t>Assumption</t>
  </si>
  <si>
    <t>Data Timeframe</t>
  </si>
  <si>
    <t>Data Source</t>
  </si>
  <si>
    <t>Comparison Basis</t>
  </si>
  <si>
    <t>Chart Type</t>
  </si>
  <si>
    <t>Data Integrity</t>
  </si>
  <si>
    <t>Visualization Clarity</t>
  </si>
  <si>
    <t>Axis Labels</t>
  </si>
  <si>
    <t>Data Points</t>
  </si>
  <si>
    <t>Statistical Revelevance</t>
  </si>
  <si>
    <t>Color Scheme</t>
  </si>
  <si>
    <t>Description</t>
  </si>
  <si>
    <t>Data is sourced from recorded daily values for Toyota and Honda.</t>
  </si>
  <si>
    <t>Assumes that all data entries are complete and free from errors.</t>
  </si>
  <si>
    <t>X-axis represents dates; Y-axis represents iterest values.</t>
  </si>
  <si>
    <t>A consistent color scheme is used for Toyota and Honda for easy identification.</t>
  </si>
  <si>
    <t>Data Consistency</t>
  </si>
  <si>
    <t>Unique Identifiers</t>
  </si>
  <si>
    <t>Lookup Values</t>
  </si>
  <si>
    <t>Exact Match Requirement</t>
  </si>
  <si>
    <t>Data Range</t>
  </si>
  <si>
    <t>Calculation Purpose</t>
  </si>
  <si>
    <t>Formula Consistency</t>
  </si>
  <si>
    <t>Output Interpretation</t>
  </si>
  <si>
    <t>Audience Understanding</t>
  </si>
  <si>
    <t>All data entries for Toyota and Honda are accurately recorded without errors.</t>
  </si>
  <si>
    <t>Dates serve as unique identifiers for lookups to ensure accurate results.</t>
  </si>
  <si>
    <t>The lookup values correspond to the Interest  "Scale" for Toyota and Honda.</t>
  </si>
  <si>
    <t>VLOOKUP and INDEX-MATCH functions are configured to require exact matches for accuracy.</t>
  </si>
  <si>
    <t>Lookup operations reference the range from A4:C96, covering all relevant data.</t>
  </si>
  <si>
    <t>The purpose of calculations is to derive insights into interest levels for both brands.</t>
  </si>
  <si>
    <t>Formulas are uniformly applied across rows to ensure consistency in results</t>
  </si>
  <si>
    <t>Results should be interpreted within the context of interest levels defined in the data.</t>
  </si>
  <si>
    <t xml:space="preserve">Jesse Xiong </t>
  </si>
  <si>
    <t>Line chart is used to show trends and comparisons over time.</t>
  </si>
  <si>
    <t>The chart compares Toyota and Honda's performance directly based on their daily values.</t>
  </si>
  <si>
    <t>The chart visualizes data from July 20, 2024, to October 20, 2024.</t>
  </si>
  <si>
    <t>The chart is designed to distinguish between Toyota and Honda values clearly.</t>
  </si>
  <si>
    <t>Each data point on the chart corresponds to a daily measurement for each brand.</t>
  </si>
  <si>
    <t>The chart reflects values without statistical adjustments; they represent raw data.</t>
  </si>
  <si>
    <t>Assuming that users have a basic understanding of how VLOOKUP and INDEXMATCH functions operate.</t>
  </si>
  <si>
    <t>Consumer Interest Analysis: Toyota vs. Honda in the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</si>
</sst>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42">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3" tint="0.89999084444715716"/>
        <bgColor indexed="64"/>
      </patternFill>
    </fill>
    <fill>
      <patternFill patternType="solid">
        <fgColor theme="9"/>
        <bgColor indexed="64"/>
      </patternFill>
    </fill>
    <fill>
      <patternFill patternType="solid">
        <fgColor theme="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C000"/>
        <bgColor indexed="64"/>
      </patternFill>
    </fill>
  </fills>
  <borders count="3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1">
    <xf numFmtId="0" fontId="0" fillId="0" borderId="0" xfId="0"/>
    <xf numFmtId="14" fontId="0" fillId="0" borderId="0" xfId="0" applyNumberFormat="1"/>
    <xf numFmtId="0" fontId="0" fillId="0" borderId="0" xfId="0" applyAlignment="1">
      <alignment horizontal="center"/>
    </xf>
    <xf numFmtId="0" fontId="16" fillId="0" borderId="10" xfId="0" applyFont="1" applyBorder="1" applyAlignment="1">
      <alignment horizontal="center"/>
    </xf>
    <xf numFmtId="0" fontId="0" fillId="0" borderId="12" xfId="0" applyBorder="1" applyAlignment="1">
      <alignment horizontal="center"/>
    </xf>
    <xf numFmtId="0" fontId="16" fillId="0" borderId="0" xfId="0" applyFont="1"/>
    <xf numFmtId="0" fontId="0" fillId="0" borderId="10" xfId="0" applyBorder="1"/>
    <xf numFmtId="0" fontId="16" fillId="0" borderId="10" xfId="0" applyFont="1" applyBorder="1"/>
    <xf numFmtId="0" fontId="16" fillId="0" borderId="18" xfId="0" applyFont="1" applyBorder="1"/>
    <xf numFmtId="14" fontId="0" fillId="0" borderId="10" xfId="0" applyNumberFormat="1" applyBorder="1"/>
    <xf numFmtId="0" fontId="0" fillId="0" borderId="17" xfId="0" applyBorder="1"/>
    <xf numFmtId="0" fontId="16" fillId="0" borderId="18" xfId="0" applyFont="1" applyBorder="1" applyAlignment="1">
      <alignment horizontal="center"/>
    </xf>
    <xf numFmtId="14" fontId="0" fillId="0" borderId="17" xfId="0" applyNumberFormat="1" applyBorder="1"/>
    <xf numFmtId="0" fontId="0" fillId="0" borderId="19" xfId="0" applyBorder="1"/>
    <xf numFmtId="0" fontId="0" fillId="0" borderId="20" xfId="0" applyBorder="1"/>
    <xf numFmtId="0" fontId="16" fillId="0" borderId="19" xfId="0" applyFont="1" applyBorder="1"/>
    <xf numFmtId="0" fontId="16" fillId="0" borderId="20" xfId="0" applyFont="1" applyBorder="1"/>
    <xf numFmtId="0" fontId="16" fillId="0" borderId="25" xfId="0" applyFont="1" applyBorder="1"/>
    <xf numFmtId="0" fontId="16" fillId="0" borderId="26" xfId="0" applyFont="1" applyBorder="1"/>
    <xf numFmtId="0" fontId="16" fillId="0" borderId="27" xfId="0" applyFont="1" applyBorder="1"/>
    <xf numFmtId="0" fontId="0" fillId="0" borderId="14" xfId="0" applyBorder="1"/>
    <xf numFmtId="0" fontId="0" fillId="0" borderId="11" xfId="0" applyBorder="1"/>
    <xf numFmtId="0" fontId="16" fillId="0" borderId="12" xfId="0" applyFont="1" applyBorder="1"/>
    <xf numFmtId="0" fontId="16" fillId="0" borderId="12" xfId="0" applyFont="1" applyBorder="1" applyAlignment="1">
      <alignment horizontal="center"/>
    </xf>
    <xf numFmtId="0" fontId="0" fillId="0" borderId="28" xfId="0" applyBorder="1"/>
    <xf numFmtId="0" fontId="0" fillId="0" borderId="29" xfId="0" applyBorder="1"/>
    <xf numFmtId="0" fontId="0" fillId="0" borderId="30" xfId="0" applyBorder="1"/>
    <xf numFmtId="0" fontId="0" fillId="0" borderId="31" xfId="0" applyBorder="1"/>
    <xf numFmtId="14" fontId="0" fillId="0" borderId="32" xfId="0" applyNumberFormat="1" applyBorder="1"/>
    <xf numFmtId="0" fontId="0" fillId="0" borderId="32" xfId="0" applyBorder="1"/>
    <xf numFmtId="0" fontId="0" fillId="0" borderId="13" xfId="0" applyBorder="1"/>
    <xf numFmtId="0" fontId="16" fillId="33" borderId="18" xfId="0" applyFont="1" applyFill="1" applyBorder="1"/>
    <xf numFmtId="0" fontId="0" fillId="34" borderId="10" xfId="0" applyFill="1" applyBorder="1"/>
    <xf numFmtId="0" fontId="0" fillId="0" borderId="33" xfId="0" applyBorder="1"/>
    <xf numFmtId="0" fontId="0" fillId="0" borderId="26" xfId="0" applyBorder="1"/>
    <xf numFmtId="0" fontId="16" fillId="34" borderId="16" xfId="0" applyFont="1" applyFill="1" applyBorder="1"/>
    <xf numFmtId="0" fontId="16" fillId="34" borderId="21" xfId="0" applyFont="1" applyFill="1" applyBorder="1" applyAlignment="1">
      <alignment horizontal="center"/>
    </xf>
    <xf numFmtId="0" fontId="16" fillId="34" borderId="20" xfId="0" applyFont="1" applyFill="1" applyBorder="1" applyAlignment="1">
      <alignment horizontal="center"/>
    </xf>
    <xf numFmtId="0" fontId="16" fillId="35" borderId="22" xfId="0" applyFont="1" applyFill="1" applyBorder="1"/>
    <xf numFmtId="0" fontId="16" fillId="35" borderId="23" xfId="0" applyFont="1" applyFill="1" applyBorder="1"/>
    <xf numFmtId="0" fontId="16" fillId="35" borderId="24" xfId="0" applyFont="1" applyFill="1" applyBorder="1"/>
    <xf numFmtId="1" fontId="0" fillId="36" borderId="15" xfId="0" applyNumberFormat="1" applyFill="1" applyBorder="1"/>
    <xf numFmtId="1" fontId="0" fillId="36" borderId="17" xfId="0" applyNumberFormat="1" applyFill="1" applyBorder="1"/>
    <xf numFmtId="0" fontId="0" fillId="36" borderId="12" xfId="0" applyFill="1" applyBorder="1"/>
    <xf numFmtId="0" fontId="0" fillId="36" borderId="10" xfId="0" applyFill="1" applyBorder="1"/>
    <xf numFmtId="0" fontId="16" fillId="37" borderId="10" xfId="0" applyFont="1" applyFill="1" applyBorder="1"/>
    <xf numFmtId="0" fontId="0" fillId="35" borderId="10" xfId="0" applyFill="1" applyBorder="1"/>
    <xf numFmtId="1" fontId="0" fillId="35" borderId="10" xfId="0" applyNumberFormat="1" applyFill="1" applyBorder="1"/>
    <xf numFmtId="0" fontId="16" fillId="38" borderId="18" xfId="0" applyFont="1" applyFill="1" applyBorder="1"/>
    <xf numFmtId="0" fontId="16" fillId="38" borderId="26" xfId="0" applyFont="1" applyFill="1" applyBorder="1"/>
    <xf numFmtId="0" fontId="0" fillId="39" borderId="17" xfId="0" applyFill="1" applyBorder="1"/>
    <xf numFmtId="0" fontId="0" fillId="39" borderId="10" xfId="0" applyFill="1" applyBorder="1"/>
    <xf numFmtId="0" fontId="0" fillId="33" borderId="17" xfId="0" applyFill="1" applyBorder="1"/>
    <xf numFmtId="0" fontId="0" fillId="33" borderId="10" xfId="0" applyFill="1" applyBorder="1"/>
    <xf numFmtId="0" fontId="0" fillId="40" borderId="17" xfId="0" applyFill="1" applyBorder="1"/>
    <xf numFmtId="0" fontId="0" fillId="40" borderId="10" xfId="0" applyFill="1" applyBorder="1"/>
    <xf numFmtId="0" fontId="0" fillId="40" borderId="10" xfId="0" applyFill="1" applyBorder="1" applyAlignment="1">
      <alignment wrapText="1"/>
    </xf>
    <xf numFmtId="0" fontId="16" fillId="40" borderId="18" xfId="0" applyFont="1" applyFill="1" applyBorder="1"/>
    <xf numFmtId="0" fontId="16" fillId="40" borderId="19" xfId="0" applyFont="1" applyFill="1" applyBorder="1"/>
    <xf numFmtId="0" fontId="16" fillId="40" borderId="20" xfId="0" applyFont="1" applyFill="1" applyBorder="1"/>
    <xf numFmtId="0" fontId="0" fillId="41" borderId="17" xfId="0" applyFill="1" applyBorder="1" applyAlignment="1">
      <alignment horizontal="center"/>
    </xf>
    <xf numFmtId="0" fontId="0" fillId="41" borderId="17" xfId="0" applyFill="1" applyBorder="1"/>
    <xf numFmtId="0" fontId="0" fillId="41" borderId="10" xfId="0" applyFill="1" applyBorder="1" applyAlignment="1">
      <alignment horizontal="center"/>
    </xf>
    <xf numFmtId="0" fontId="0" fillId="41" borderId="10" xfId="0" applyFill="1" applyBorder="1"/>
    <xf numFmtId="0" fontId="0" fillId="0" borderId="0" xfId="0" applyAlignment="1">
      <alignment horizontal="center"/>
    </xf>
    <xf numFmtId="0" fontId="0" fillId="34" borderId="10" xfId="0" applyFill="1" applyBorder="1" applyAlignment="1">
      <alignment horizontal="center"/>
    </xf>
    <xf numFmtId="0" fontId="16" fillId="33" borderId="27" xfId="0" applyFont="1" applyFill="1" applyBorder="1" applyAlignment="1">
      <alignment horizontal="center"/>
    </xf>
    <xf numFmtId="0" fontId="16" fillId="33" borderId="33" xfId="0" applyFont="1" applyFill="1" applyBorder="1" applyAlignment="1">
      <alignment horizontal="center"/>
    </xf>
    <xf numFmtId="0" fontId="16" fillId="33" borderId="26" xfId="0" applyFont="1" applyFill="1" applyBorder="1" applyAlignment="1">
      <alignment horizontal="center"/>
    </xf>
    <xf numFmtId="0" fontId="0" fillId="34" borderId="17" xfId="0" applyFill="1" applyBorder="1" applyAlignment="1">
      <alignment horizontal="center"/>
    </xf>
    <xf numFmtId="0" fontId="16"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solidFill>
                  <a:schemeClr val="accent6"/>
                </a:solidFill>
              </a:rPr>
              <a:t>Toyota Vs Honda Search Interests</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lotArea>
      <c:layout/>
      <c:lineChart>
        <c:grouping val="standard"/>
        <c:varyColors val="0"/>
        <c:ser>
          <c:idx val="0"/>
          <c:order val="0"/>
          <c:tx>
            <c:strRef>
              <c:f>'Charts and Visualization'!$B$3</c:f>
              <c:strCache>
                <c:ptCount val="1"/>
                <c:pt idx="0">
                  <c:v>toyota: (United States)</c:v>
                </c:pt>
              </c:strCache>
            </c:strRef>
          </c:tx>
          <c:spPr>
            <a:ln w="22225" cap="rnd">
              <a:solidFill>
                <a:schemeClr val="accent2"/>
              </a:solidFill>
              <a:round/>
            </a:ln>
            <a:effectLst/>
          </c:spPr>
          <c:marker>
            <c:symbol val="none"/>
          </c:marker>
          <c:cat>
            <c:numRef>
              <c:f>'Charts and Visualization'!$A$4:$A$96</c:f>
              <c:numCache>
                <c:formatCode>m/d/yyyy</c:formatCode>
                <c:ptCount val="93"/>
                <c:pt idx="0">
                  <c:v>45493</c:v>
                </c:pt>
                <c:pt idx="1">
                  <c:v>45494</c:v>
                </c:pt>
                <c:pt idx="2">
                  <c:v>45495</c:v>
                </c:pt>
                <c:pt idx="3">
                  <c:v>45496</c:v>
                </c:pt>
                <c:pt idx="4">
                  <c:v>45497</c:v>
                </c:pt>
                <c:pt idx="5">
                  <c:v>45498</c:v>
                </c:pt>
                <c:pt idx="6">
                  <c:v>45499</c:v>
                </c:pt>
                <c:pt idx="7">
                  <c:v>45500</c:v>
                </c:pt>
                <c:pt idx="8">
                  <c:v>45501</c:v>
                </c:pt>
                <c:pt idx="9">
                  <c:v>45502</c:v>
                </c:pt>
                <c:pt idx="10">
                  <c:v>45503</c:v>
                </c:pt>
                <c:pt idx="11">
                  <c:v>45504</c:v>
                </c:pt>
                <c:pt idx="12">
                  <c:v>45505</c:v>
                </c:pt>
                <c:pt idx="13">
                  <c:v>45506</c:v>
                </c:pt>
                <c:pt idx="14">
                  <c:v>45507</c:v>
                </c:pt>
                <c:pt idx="15">
                  <c:v>45508</c:v>
                </c:pt>
                <c:pt idx="16">
                  <c:v>45509</c:v>
                </c:pt>
                <c:pt idx="17">
                  <c:v>45510</c:v>
                </c:pt>
                <c:pt idx="18">
                  <c:v>45511</c:v>
                </c:pt>
                <c:pt idx="19">
                  <c:v>45512</c:v>
                </c:pt>
                <c:pt idx="20">
                  <c:v>45513</c:v>
                </c:pt>
                <c:pt idx="21">
                  <c:v>45514</c:v>
                </c:pt>
                <c:pt idx="22">
                  <c:v>45515</c:v>
                </c:pt>
                <c:pt idx="23">
                  <c:v>45516</c:v>
                </c:pt>
                <c:pt idx="24">
                  <c:v>45517</c:v>
                </c:pt>
                <c:pt idx="25">
                  <c:v>45518</c:v>
                </c:pt>
                <c:pt idx="26">
                  <c:v>45519</c:v>
                </c:pt>
                <c:pt idx="27">
                  <c:v>45520</c:v>
                </c:pt>
                <c:pt idx="28">
                  <c:v>45521</c:v>
                </c:pt>
                <c:pt idx="29">
                  <c:v>45522</c:v>
                </c:pt>
                <c:pt idx="30">
                  <c:v>45523</c:v>
                </c:pt>
                <c:pt idx="31">
                  <c:v>45524</c:v>
                </c:pt>
                <c:pt idx="32">
                  <c:v>45525</c:v>
                </c:pt>
                <c:pt idx="33">
                  <c:v>45526</c:v>
                </c:pt>
                <c:pt idx="34">
                  <c:v>45527</c:v>
                </c:pt>
                <c:pt idx="35">
                  <c:v>45528</c:v>
                </c:pt>
                <c:pt idx="36">
                  <c:v>45529</c:v>
                </c:pt>
                <c:pt idx="37">
                  <c:v>45530</c:v>
                </c:pt>
                <c:pt idx="38">
                  <c:v>45531</c:v>
                </c:pt>
                <c:pt idx="39">
                  <c:v>45532</c:v>
                </c:pt>
                <c:pt idx="40">
                  <c:v>45533</c:v>
                </c:pt>
                <c:pt idx="41">
                  <c:v>45534</c:v>
                </c:pt>
                <c:pt idx="42">
                  <c:v>45535</c:v>
                </c:pt>
                <c:pt idx="43">
                  <c:v>45536</c:v>
                </c:pt>
                <c:pt idx="44">
                  <c:v>45537</c:v>
                </c:pt>
                <c:pt idx="45">
                  <c:v>45538</c:v>
                </c:pt>
                <c:pt idx="46">
                  <c:v>45539</c:v>
                </c:pt>
                <c:pt idx="47">
                  <c:v>45540</c:v>
                </c:pt>
                <c:pt idx="48">
                  <c:v>45541</c:v>
                </c:pt>
                <c:pt idx="49">
                  <c:v>45542</c:v>
                </c:pt>
                <c:pt idx="50">
                  <c:v>45543</c:v>
                </c:pt>
                <c:pt idx="51">
                  <c:v>45544</c:v>
                </c:pt>
                <c:pt idx="52">
                  <c:v>45545</c:v>
                </c:pt>
                <c:pt idx="53">
                  <c:v>45546</c:v>
                </c:pt>
                <c:pt idx="54">
                  <c:v>45547</c:v>
                </c:pt>
                <c:pt idx="55">
                  <c:v>45548</c:v>
                </c:pt>
                <c:pt idx="56">
                  <c:v>45549</c:v>
                </c:pt>
                <c:pt idx="57">
                  <c:v>45550</c:v>
                </c:pt>
                <c:pt idx="58">
                  <c:v>45551</c:v>
                </c:pt>
                <c:pt idx="59">
                  <c:v>45552</c:v>
                </c:pt>
                <c:pt idx="60">
                  <c:v>45553</c:v>
                </c:pt>
                <c:pt idx="61">
                  <c:v>45554</c:v>
                </c:pt>
                <c:pt idx="62">
                  <c:v>45555</c:v>
                </c:pt>
                <c:pt idx="63">
                  <c:v>45556</c:v>
                </c:pt>
                <c:pt idx="64">
                  <c:v>45557</c:v>
                </c:pt>
                <c:pt idx="65">
                  <c:v>45558</c:v>
                </c:pt>
                <c:pt idx="66">
                  <c:v>45559</c:v>
                </c:pt>
                <c:pt idx="67">
                  <c:v>45560</c:v>
                </c:pt>
                <c:pt idx="68">
                  <c:v>45561</c:v>
                </c:pt>
                <c:pt idx="69">
                  <c:v>45562</c:v>
                </c:pt>
                <c:pt idx="70">
                  <c:v>45563</c:v>
                </c:pt>
                <c:pt idx="71">
                  <c:v>45564</c:v>
                </c:pt>
                <c:pt idx="72">
                  <c:v>45565</c:v>
                </c:pt>
                <c:pt idx="73">
                  <c:v>45566</c:v>
                </c:pt>
                <c:pt idx="74">
                  <c:v>45567</c:v>
                </c:pt>
                <c:pt idx="75">
                  <c:v>45568</c:v>
                </c:pt>
                <c:pt idx="76">
                  <c:v>45569</c:v>
                </c:pt>
                <c:pt idx="77">
                  <c:v>45570</c:v>
                </c:pt>
                <c:pt idx="78">
                  <c:v>45571</c:v>
                </c:pt>
                <c:pt idx="79">
                  <c:v>45572</c:v>
                </c:pt>
                <c:pt idx="80">
                  <c:v>45573</c:v>
                </c:pt>
                <c:pt idx="81">
                  <c:v>45574</c:v>
                </c:pt>
                <c:pt idx="82">
                  <c:v>45575</c:v>
                </c:pt>
                <c:pt idx="83">
                  <c:v>45576</c:v>
                </c:pt>
                <c:pt idx="84">
                  <c:v>45577</c:v>
                </c:pt>
                <c:pt idx="85">
                  <c:v>45578</c:v>
                </c:pt>
                <c:pt idx="86">
                  <c:v>45579</c:v>
                </c:pt>
                <c:pt idx="87">
                  <c:v>45580</c:v>
                </c:pt>
                <c:pt idx="88">
                  <c:v>45581</c:v>
                </c:pt>
                <c:pt idx="89">
                  <c:v>45582</c:v>
                </c:pt>
                <c:pt idx="90">
                  <c:v>45583</c:v>
                </c:pt>
                <c:pt idx="91">
                  <c:v>45584</c:v>
                </c:pt>
                <c:pt idx="92">
                  <c:v>45585</c:v>
                </c:pt>
              </c:numCache>
            </c:numRef>
          </c:cat>
          <c:val>
            <c:numRef>
              <c:f>'Charts and Visualization'!$B$4:$B$96</c:f>
              <c:numCache>
                <c:formatCode>General</c:formatCode>
                <c:ptCount val="93"/>
                <c:pt idx="0">
                  <c:v>98</c:v>
                </c:pt>
                <c:pt idx="1">
                  <c:v>85</c:v>
                </c:pt>
                <c:pt idx="2">
                  <c:v>89</c:v>
                </c:pt>
                <c:pt idx="3">
                  <c:v>90</c:v>
                </c:pt>
                <c:pt idx="4">
                  <c:v>85</c:v>
                </c:pt>
                <c:pt idx="5">
                  <c:v>88</c:v>
                </c:pt>
                <c:pt idx="6">
                  <c:v>89</c:v>
                </c:pt>
                <c:pt idx="7">
                  <c:v>96</c:v>
                </c:pt>
                <c:pt idx="8">
                  <c:v>86</c:v>
                </c:pt>
                <c:pt idx="9">
                  <c:v>88</c:v>
                </c:pt>
                <c:pt idx="10">
                  <c:v>89</c:v>
                </c:pt>
                <c:pt idx="11">
                  <c:v>86</c:v>
                </c:pt>
                <c:pt idx="12">
                  <c:v>86</c:v>
                </c:pt>
                <c:pt idx="13">
                  <c:v>86</c:v>
                </c:pt>
                <c:pt idx="14">
                  <c:v>96</c:v>
                </c:pt>
                <c:pt idx="15">
                  <c:v>84</c:v>
                </c:pt>
                <c:pt idx="16">
                  <c:v>85</c:v>
                </c:pt>
                <c:pt idx="17">
                  <c:v>83</c:v>
                </c:pt>
                <c:pt idx="18">
                  <c:v>83</c:v>
                </c:pt>
                <c:pt idx="19">
                  <c:v>80</c:v>
                </c:pt>
                <c:pt idx="20">
                  <c:v>84</c:v>
                </c:pt>
                <c:pt idx="21">
                  <c:v>95</c:v>
                </c:pt>
                <c:pt idx="22">
                  <c:v>88</c:v>
                </c:pt>
                <c:pt idx="23">
                  <c:v>86</c:v>
                </c:pt>
                <c:pt idx="24">
                  <c:v>82</c:v>
                </c:pt>
                <c:pt idx="25">
                  <c:v>89</c:v>
                </c:pt>
                <c:pt idx="26">
                  <c:v>86</c:v>
                </c:pt>
                <c:pt idx="27">
                  <c:v>87</c:v>
                </c:pt>
                <c:pt idx="28">
                  <c:v>97</c:v>
                </c:pt>
                <c:pt idx="29">
                  <c:v>91</c:v>
                </c:pt>
                <c:pt idx="30">
                  <c:v>88</c:v>
                </c:pt>
                <c:pt idx="31">
                  <c:v>85</c:v>
                </c:pt>
                <c:pt idx="32">
                  <c:v>86</c:v>
                </c:pt>
                <c:pt idx="33">
                  <c:v>88</c:v>
                </c:pt>
                <c:pt idx="34">
                  <c:v>82</c:v>
                </c:pt>
                <c:pt idx="35">
                  <c:v>99</c:v>
                </c:pt>
                <c:pt idx="36">
                  <c:v>92</c:v>
                </c:pt>
                <c:pt idx="37">
                  <c:v>81</c:v>
                </c:pt>
                <c:pt idx="38">
                  <c:v>83</c:v>
                </c:pt>
                <c:pt idx="39">
                  <c:v>87</c:v>
                </c:pt>
                <c:pt idx="40">
                  <c:v>81</c:v>
                </c:pt>
                <c:pt idx="41">
                  <c:v>84</c:v>
                </c:pt>
                <c:pt idx="42">
                  <c:v>89</c:v>
                </c:pt>
                <c:pt idx="43">
                  <c:v>83</c:v>
                </c:pt>
                <c:pt idx="44">
                  <c:v>89</c:v>
                </c:pt>
                <c:pt idx="45">
                  <c:v>75</c:v>
                </c:pt>
                <c:pt idx="46">
                  <c:v>77</c:v>
                </c:pt>
                <c:pt idx="47">
                  <c:v>77</c:v>
                </c:pt>
                <c:pt idx="48">
                  <c:v>79</c:v>
                </c:pt>
                <c:pt idx="49">
                  <c:v>89</c:v>
                </c:pt>
                <c:pt idx="50">
                  <c:v>74</c:v>
                </c:pt>
                <c:pt idx="51">
                  <c:v>79</c:v>
                </c:pt>
                <c:pt idx="52">
                  <c:v>75</c:v>
                </c:pt>
                <c:pt idx="53">
                  <c:v>73</c:v>
                </c:pt>
                <c:pt idx="54">
                  <c:v>78</c:v>
                </c:pt>
                <c:pt idx="55">
                  <c:v>77</c:v>
                </c:pt>
                <c:pt idx="56">
                  <c:v>94</c:v>
                </c:pt>
                <c:pt idx="57">
                  <c:v>77</c:v>
                </c:pt>
                <c:pt idx="58">
                  <c:v>82</c:v>
                </c:pt>
                <c:pt idx="59">
                  <c:v>79</c:v>
                </c:pt>
                <c:pt idx="60">
                  <c:v>75</c:v>
                </c:pt>
                <c:pt idx="61">
                  <c:v>78</c:v>
                </c:pt>
                <c:pt idx="62">
                  <c:v>80</c:v>
                </c:pt>
                <c:pt idx="63">
                  <c:v>94</c:v>
                </c:pt>
                <c:pt idx="64">
                  <c:v>78</c:v>
                </c:pt>
                <c:pt idx="65">
                  <c:v>81</c:v>
                </c:pt>
                <c:pt idx="66">
                  <c:v>78</c:v>
                </c:pt>
                <c:pt idx="67">
                  <c:v>77</c:v>
                </c:pt>
                <c:pt idx="68">
                  <c:v>72</c:v>
                </c:pt>
                <c:pt idx="69">
                  <c:v>77</c:v>
                </c:pt>
                <c:pt idx="70">
                  <c:v>89</c:v>
                </c:pt>
                <c:pt idx="71">
                  <c:v>76</c:v>
                </c:pt>
                <c:pt idx="72">
                  <c:v>73</c:v>
                </c:pt>
                <c:pt idx="73">
                  <c:v>76</c:v>
                </c:pt>
                <c:pt idx="74">
                  <c:v>73</c:v>
                </c:pt>
                <c:pt idx="75">
                  <c:v>77</c:v>
                </c:pt>
                <c:pt idx="76">
                  <c:v>79</c:v>
                </c:pt>
                <c:pt idx="77">
                  <c:v>82</c:v>
                </c:pt>
                <c:pt idx="78">
                  <c:v>74</c:v>
                </c:pt>
                <c:pt idx="79">
                  <c:v>77</c:v>
                </c:pt>
                <c:pt idx="80">
                  <c:v>72</c:v>
                </c:pt>
                <c:pt idx="81">
                  <c:v>73</c:v>
                </c:pt>
                <c:pt idx="82">
                  <c:v>73</c:v>
                </c:pt>
                <c:pt idx="83">
                  <c:v>79</c:v>
                </c:pt>
                <c:pt idx="84">
                  <c:v>100</c:v>
                </c:pt>
                <c:pt idx="85">
                  <c:v>79</c:v>
                </c:pt>
                <c:pt idx="86">
                  <c:v>83</c:v>
                </c:pt>
                <c:pt idx="87">
                  <c:v>78</c:v>
                </c:pt>
                <c:pt idx="88">
                  <c:v>78</c:v>
                </c:pt>
                <c:pt idx="89">
                  <c:v>76</c:v>
                </c:pt>
                <c:pt idx="90">
                  <c:v>82</c:v>
                </c:pt>
                <c:pt idx="91">
                  <c:v>88</c:v>
                </c:pt>
                <c:pt idx="92">
                  <c:v>80</c:v>
                </c:pt>
              </c:numCache>
            </c:numRef>
          </c:val>
          <c:smooth val="0"/>
          <c:extLst>
            <c:ext xmlns:c16="http://schemas.microsoft.com/office/drawing/2014/chart" uri="{C3380CC4-5D6E-409C-BE32-E72D297353CC}">
              <c16:uniqueId val="{00000000-2ADD-434A-8E76-B3D3D338AADC}"/>
            </c:ext>
          </c:extLst>
        </c:ser>
        <c:ser>
          <c:idx val="1"/>
          <c:order val="1"/>
          <c:tx>
            <c:strRef>
              <c:f>'Charts and Visualization'!$C$3</c:f>
              <c:strCache>
                <c:ptCount val="1"/>
                <c:pt idx="0">
                  <c:v>honda: (United States)</c:v>
                </c:pt>
              </c:strCache>
            </c:strRef>
          </c:tx>
          <c:spPr>
            <a:ln w="22225" cap="rnd">
              <a:solidFill>
                <a:schemeClr val="accent4"/>
              </a:solidFill>
              <a:round/>
            </a:ln>
            <a:effectLst/>
          </c:spPr>
          <c:marker>
            <c:symbol val="none"/>
          </c:marker>
          <c:cat>
            <c:numRef>
              <c:f>'Charts and Visualization'!$A$4:$A$96</c:f>
              <c:numCache>
                <c:formatCode>m/d/yyyy</c:formatCode>
                <c:ptCount val="93"/>
                <c:pt idx="0">
                  <c:v>45493</c:v>
                </c:pt>
                <c:pt idx="1">
                  <c:v>45494</c:v>
                </c:pt>
                <c:pt idx="2">
                  <c:v>45495</c:v>
                </c:pt>
                <c:pt idx="3">
                  <c:v>45496</c:v>
                </c:pt>
                <c:pt idx="4">
                  <c:v>45497</c:v>
                </c:pt>
                <c:pt idx="5">
                  <c:v>45498</c:v>
                </c:pt>
                <c:pt idx="6">
                  <c:v>45499</c:v>
                </c:pt>
                <c:pt idx="7">
                  <c:v>45500</c:v>
                </c:pt>
                <c:pt idx="8">
                  <c:v>45501</c:v>
                </c:pt>
                <c:pt idx="9">
                  <c:v>45502</c:v>
                </c:pt>
                <c:pt idx="10">
                  <c:v>45503</c:v>
                </c:pt>
                <c:pt idx="11">
                  <c:v>45504</c:v>
                </c:pt>
                <c:pt idx="12">
                  <c:v>45505</c:v>
                </c:pt>
                <c:pt idx="13">
                  <c:v>45506</c:v>
                </c:pt>
                <c:pt idx="14">
                  <c:v>45507</c:v>
                </c:pt>
                <c:pt idx="15">
                  <c:v>45508</c:v>
                </c:pt>
                <c:pt idx="16">
                  <c:v>45509</c:v>
                </c:pt>
                <c:pt idx="17">
                  <c:v>45510</c:v>
                </c:pt>
                <c:pt idx="18">
                  <c:v>45511</c:v>
                </c:pt>
                <c:pt idx="19">
                  <c:v>45512</c:v>
                </c:pt>
                <c:pt idx="20">
                  <c:v>45513</c:v>
                </c:pt>
                <c:pt idx="21">
                  <c:v>45514</c:v>
                </c:pt>
                <c:pt idx="22">
                  <c:v>45515</c:v>
                </c:pt>
                <c:pt idx="23">
                  <c:v>45516</c:v>
                </c:pt>
                <c:pt idx="24">
                  <c:v>45517</c:v>
                </c:pt>
                <c:pt idx="25">
                  <c:v>45518</c:v>
                </c:pt>
                <c:pt idx="26">
                  <c:v>45519</c:v>
                </c:pt>
                <c:pt idx="27">
                  <c:v>45520</c:v>
                </c:pt>
                <c:pt idx="28">
                  <c:v>45521</c:v>
                </c:pt>
                <c:pt idx="29">
                  <c:v>45522</c:v>
                </c:pt>
                <c:pt idx="30">
                  <c:v>45523</c:v>
                </c:pt>
                <c:pt idx="31">
                  <c:v>45524</c:v>
                </c:pt>
                <c:pt idx="32">
                  <c:v>45525</c:v>
                </c:pt>
                <c:pt idx="33">
                  <c:v>45526</c:v>
                </c:pt>
                <c:pt idx="34">
                  <c:v>45527</c:v>
                </c:pt>
                <c:pt idx="35">
                  <c:v>45528</c:v>
                </c:pt>
                <c:pt idx="36">
                  <c:v>45529</c:v>
                </c:pt>
                <c:pt idx="37">
                  <c:v>45530</c:v>
                </c:pt>
                <c:pt idx="38">
                  <c:v>45531</c:v>
                </c:pt>
                <c:pt idx="39">
                  <c:v>45532</c:v>
                </c:pt>
                <c:pt idx="40">
                  <c:v>45533</c:v>
                </c:pt>
                <c:pt idx="41">
                  <c:v>45534</c:v>
                </c:pt>
                <c:pt idx="42">
                  <c:v>45535</c:v>
                </c:pt>
                <c:pt idx="43">
                  <c:v>45536</c:v>
                </c:pt>
                <c:pt idx="44">
                  <c:v>45537</c:v>
                </c:pt>
                <c:pt idx="45">
                  <c:v>45538</c:v>
                </c:pt>
                <c:pt idx="46">
                  <c:v>45539</c:v>
                </c:pt>
                <c:pt idx="47">
                  <c:v>45540</c:v>
                </c:pt>
                <c:pt idx="48">
                  <c:v>45541</c:v>
                </c:pt>
                <c:pt idx="49">
                  <c:v>45542</c:v>
                </c:pt>
                <c:pt idx="50">
                  <c:v>45543</c:v>
                </c:pt>
                <c:pt idx="51">
                  <c:v>45544</c:v>
                </c:pt>
                <c:pt idx="52">
                  <c:v>45545</c:v>
                </c:pt>
                <c:pt idx="53">
                  <c:v>45546</c:v>
                </c:pt>
                <c:pt idx="54">
                  <c:v>45547</c:v>
                </c:pt>
                <c:pt idx="55">
                  <c:v>45548</c:v>
                </c:pt>
                <c:pt idx="56">
                  <c:v>45549</c:v>
                </c:pt>
                <c:pt idx="57">
                  <c:v>45550</c:v>
                </c:pt>
                <c:pt idx="58">
                  <c:v>45551</c:v>
                </c:pt>
                <c:pt idx="59">
                  <c:v>45552</c:v>
                </c:pt>
                <c:pt idx="60">
                  <c:v>45553</c:v>
                </c:pt>
                <c:pt idx="61">
                  <c:v>45554</c:v>
                </c:pt>
                <c:pt idx="62">
                  <c:v>45555</c:v>
                </c:pt>
                <c:pt idx="63">
                  <c:v>45556</c:v>
                </c:pt>
                <c:pt idx="64">
                  <c:v>45557</c:v>
                </c:pt>
                <c:pt idx="65">
                  <c:v>45558</c:v>
                </c:pt>
                <c:pt idx="66">
                  <c:v>45559</c:v>
                </c:pt>
                <c:pt idx="67">
                  <c:v>45560</c:v>
                </c:pt>
                <c:pt idx="68">
                  <c:v>45561</c:v>
                </c:pt>
                <c:pt idx="69">
                  <c:v>45562</c:v>
                </c:pt>
                <c:pt idx="70">
                  <c:v>45563</c:v>
                </c:pt>
                <c:pt idx="71">
                  <c:v>45564</c:v>
                </c:pt>
                <c:pt idx="72">
                  <c:v>45565</c:v>
                </c:pt>
                <c:pt idx="73">
                  <c:v>45566</c:v>
                </c:pt>
                <c:pt idx="74">
                  <c:v>45567</c:v>
                </c:pt>
                <c:pt idx="75">
                  <c:v>45568</c:v>
                </c:pt>
                <c:pt idx="76">
                  <c:v>45569</c:v>
                </c:pt>
                <c:pt idx="77">
                  <c:v>45570</c:v>
                </c:pt>
                <c:pt idx="78">
                  <c:v>45571</c:v>
                </c:pt>
                <c:pt idx="79">
                  <c:v>45572</c:v>
                </c:pt>
                <c:pt idx="80">
                  <c:v>45573</c:v>
                </c:pt>
                <c:pt idx="81">
                  <c:v>45574</c:v>
                </c:pt>
                <c:pt idx="82">
                  <c:v>45575</c:v>
                </c:pt>
                <c:pt idx="83">
                  <c:v>45576</c:v>
                </c:pt>
                <c:pt idx="84">
                  <c:v>45577</c:v>
                </c:pt>
                <c:pt idx="85">
                  <c:v>45578</c:v>
                </c:pt>
                <c:pt idx="86">
                  <c:v>45579</c:v>
                </c:pt>
                <c:pt idx="87">
                  <c:v>45580</c:v>
                </c:pt>
                <c:pt idx="88">
                  <c:v>45581</c:v>
                </c:pt>
                <c:pt idx="89">
                  <c:v>45582</c:v>
                </c:pt>
                <c:pt idx="90">
                  <c:v>45583</c:v>
                </c:pt>
                <c:pt idx="91">
                  <c:v>45584</c:v>
                </c:pt>
                <c:pt idx="92">
                  <c:v>45585</c:v>
                </c:pt>
              </c:numCache>
            </c:numRef>
          </c:cat>
          <c:val>
            <c:numRef>
              <c:f>'Charts and Visualization'!$C$4:$C$96</c:f>
              <c:numCache>
                <c:formatCode>General</c:formatCode>
                <c:ptCount val="93"/>
                <c:pt idx="0">
                  <c:v>91</c:v>
                </c:pt>
                <c:pt idx="1">
                  <c:v>80</c:v>
                </c:pt>
                <c:pt idx="2">
                  <c:v>78</c:v>
                </c:pt>
                <c:pt idx="3">
                  <c:v>79</c:v>
                </c:pt>
                <c:pt idx="4">
                  <c:v>79</c:v>
                </c:pt>
                <c:pt idx="5">
                  <c:v>80</c:v>
                </c:pt>
                <c:pt idx="6">
                  <c:v>76</c:v>
                </c:pt>
                <c:pt idx="7">
                  <c:v>100</c:v>
                </c:pt>
                <c:pt idx="8">
                  <c:v>77</c:v>
                </c:pt>
                <c:pt idx="9">
                  <c:v>75</c:v>
                </c:pt>
                <c:pt idx="10">
                  <c:v>76</c:v>
                </c:pt>
                <c:pt idx="11">
                  <c:v>71</c:v>
                </c:pt>
                <c:pt idx="12">
                  <c:v>72</c:v>
                </c:pt>
                <c:pt idx="13">
                  <c:v>83</c:v>
                </c:pt>
                <c:pt idx="14">
                  <c:v>92</c:v>
                </c:pt>
                <c:pt idx="15">
                  <c:v>79</c:v>
                </c:pt>
                <c:pt idx="16">
                  <c:v>68</c:v>
                </c:pt>
                <c:pt idx="17">
                  <c:v>78</c:v>
                </c:pt>
                <c:pt idx="18">
                  <c:v>78</c:v>
                </c:pt>
                <c:pt idx="19">
                  <c:v>72</c:v>
                </c:pt>
                <c:pt idx="20">
                  <c:v>79</c:v>
                </c:pt>
                <c:pt idx="21">
                  <c:v>92</c:v>
                </c:pt>
                <c:pt idx="22">
                  <c:v>77</c:v>
                </c:pt>
                <c:pt idx="23">
                  <c:v>81</c:v>
                </c:pt>
                <c:pt idx="24">
                  <c:v>78</c:v>
                </c:pt>
                <c:pt idx="25">
                  <c:v>75</c:v>
                </c:pt>
                <c:pt idx="26">
                  <c:v>79</c:v>
                </c:pt>
                <c:pt idx="27">
                  <c:v>79</c:v>
                </c:pt>
                <c:pt idx="28">
                  <c:v>97</c:v>
                </c:pt>
                <c:pt idx="29">
                  <c:v>80</c:v>
                </c:pt>
                <c:pt idx="30">
                  <c:v>78</c:v>
                </c:pt>
                <c:pt idx="31">
                  <c:v>78</c:v>
                </c:pt>
                <c:pt idx="32">
                  <c:v>76</c:v>
                </c:pt>
                <c:pt idx="33">
                  <c:v>80</c:v>
                </c:pt>
                <c:pt idx="34">
                  <c:v>70</c:v>
                </c:pt>
                <c:pt idx="35">
                  <c:v>98</c:v>
                </c:pt>
                <c:pt idx="36">
                  <c:v>80</c:v>
                </c:pt>
                <c:pt idx="37">
                  <c:v>75</c:v>
                </c:pt>
                <c:pt idx="38">
                  <c:v>73</c:v>
                </c:pt>
                <c:pt idx="39">
                  <c:v>76</c:v>
                </c:pt>
                <c:pt idx="40">
                  <c:v>73</c:v>
                </c:pt>
                <c:pt idx="41">
                  <c:v>75</c:v>
                </c:pt>
                <c:pt idx="42">
                  <c:v>92</c:v>
                </c:pt>
                <c:pt idx="43">
                  <c:v>73</c:v>
                </c:pt>
                <c:pt idx="44">
                  <c:v>80</c:v>
                </c:pt>
                <c:pt idx="45">
                  <c:v>71</c:v>
                </c:pt>
                <c:pt idx="46">
                  <c:v>71</c:v>
                </c:pt>
                <c:pt idx="47">
                  <c:v>64</c:v>
                </c:pt>
                <c:pt idx="48">
                  <c:v>67</c:v>
                </c:pt>
                <c:pt idx="49">
                  <c:v>83</c:v>
                </c:pt>
                <c:pt idx="50">
                  <c:v>68</c:v>
                </c:pt>
                <c:pt idx="51">
                  <c:v>68</c:v>
                </c:pt>
                <c:pt idx="52">
                  <c:v>68</c:v>
                </c:pt>
                <c:pt idx="53">
                  <c:v>64</c:v>
                </c:pt>
                <c:pt idx="54">
                  <c:v>68</c:v>
                </c:pt>
                <c:pt idx="55">
                  <c:v>67</c:v>
                </c:pt>
                <c:pt idx="56">
                  <c:v>84</c:v>
                </c:pt>
                <c:pt idx="57">
                  <c:v>67</c:v>
                </c:pt>
                <c:pt idx="58">
                  <c:v>69</c:v>
                </c:pt>
                <c:pt idx="59">
                  <c:v>66</c:v>
                </c:pt>
                <c:pt idx="60">
                  <c:v>69</c:v>
                </c:pt>
                <c:pt idx="61">
                  <c:v>67</c:v>
                </c:pt>
                <c:pt idx="62">
                  <c:v>71</c:v>
                </c:pt>
                <c:pt idx="63">
                  <c:v>88</c:v>
                </c:pt>
                <c:pt idx="64">
                  <c:v>72</c:v>
                </c:pt>
                <c:pt idx="65">
                  <c:v>67</c:v>
                </c:pt>
                <c:pt idx="66">
                  <c:v>64</c:v>
                </c:pt>
                <c:pt idx="67">
                  <c:v>65</c:v>
                </c:pt>
                <c:pt idx="68">
                  <c:v>63</c:v>
                </c:pt>
                <c:pt idx="69">
                  <c:v>65</c:v>
                </c:pt>
                <c:pt idx="70">
                  <c:v>82</c:v>
                </c:pt>
                <c:pt idx="71">
                  <c:v>68</c:v>
                </c:pt>
                <c:pt idx="72">
                  <c:v>66</c:v>
                </c:pt>
                <c:pt idx="73">
                  <c:v>65</c:v>
                </c:pt>
                <c:pt idx="74">
                  <c:v>69</c:v>
                </c:pt>
                <c:pt idx="75">
                  <c:v>65</c:v>
                </c:pt>
                <c:pt idx="76">
                  <c:v>66</c:v>
                </c:pt>
                <c:pt idx="77">
                  <c:v>85</c:v>
                </c:pt>
                <c:pt idx="78">
                  <c:v>67</c:v>
                </c:pt>
                <c:pt idx="79">
                  <c:v>65</c:v>
                </c:pt>
                <c:pt idx="80">
                  <c:v>62</c:v>
                </c:pt>
                <c:pt idx="81">
                  <c:v>65</c:v>
                </c:pt>
                <c:pt idx="82">
                  <c:v>69</c:v>
                </c:pt>
                <c:pt idx="83">
                  <c:v>69</c:v>
                </c:pt>
                <c:pt idx="84">
                  <c:v>89</c:v>
                </c:pt>
                <c:pt idx="85">
                  <c:v>70</c:v>
                </c:pt>
                <c:pt idx="86">
                  <c:v>71</c:v>
                </c:pt>
                <c:pt idx="87">
                  <c:v>67</c:v>
                </c:pt>
                <c:pt idx="88">
                  <c:v>65</c:v>
                </c:pt>
                <c:pt idx="89">
                  <c:v>66</c:v>
                </c:pt>
                <c:pt idx="90">
                  <c:v>69</c:v>
                </c:pt>
                <c:pt idx="91">
                  <c:v>87</c:v>
                </c:pt>
                <c:pt idx="92">
                  <c:v>68</c:v>
                </c:pt>
              </c:numCache>
            </c:numRef>
          </c:val>
          <c:smooth val="0"/>
          <c:extLst>
            <c:ext xmlns:c16="http://schemas.microsoft.com/office/drawing/2014/chart" uri="{C3380CC4-5D6E-409C-BE32-E72D297353CC}">
              <c16:uniqueId val="{00000001-2ADD-434A-8E76-B3D3D338AADC}"/>
            </c:ext>
          </c:extLst>
        </c:ser>
        <c:dLbls>
          <c:showLegendKey val="0"/>
          <c:showVal val="0"/>
          <c:showCatName val="0"/>
          <c:showSerName val="0"/>
          <c:showPercent val="0"/>
          <c:showBubbleSize val="0"/>
        </c:dLbls>
        <c:smooth val="0"/>
        <c:axId val="1129190559"/>
        <c:axId val="1210233487"/>
      </c:lineChart>
      <c:dateAx>
        <c:axId val="1129190559"/>
        <c:scaling>
          <c:orientation val="minMax"/>
        </c:scaling>
        <c:delete val="0"/>
        <c:axPos val="b"/>
        <c:numFmt formatCode="m/d/yyyy"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210233487"/>
        <c:crosses val="autoZero"/>
        <c:auto val="1"/>
        <c:lblOffset val="100"/>
        <c:baseTimeUnit val="days"/>
      </c:dateAx>
      <c:valAx>
        <c:axId val="1210233487"/>
        <c:scaling>
          <c:orientation val="minMax"/>
        </c:scaling>
        <c:delete val="0"/>
        <c:axPos val="l"/>
        <c:majorGridlines>
          <c:spPr>
            <a:ln w="9525" cap="flat" cmpd="sng" algn="ctr">
              <a:solidFill>
                <a:schemeClr val="dk1">
                  <a:lumMod val="15000"/>
                  <a:lumOff val="85000"/>
                  <a:alpha val="54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29190559"/>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accent6"/>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742950</xdr:colOff>
      <xdr:row>4</xdr:row>
      <xdr:rowOff>133350</xdr:rowOff>
    </xdr:from>
    <xdr:to>
      <xdr:col>9</xdr:col>
      <xdr:colOff>542925</xdr:colOff>
      <xdr:row>24</xdr:row>
      <xdr:rowOff>180975</xdr:rowOff>
    </xdr:to>
    <xdr:sp macro="" textlink="">
      <xdr:nvSpPr>
        <xdr:cNvPr id="2" name="TextBox 1">
          <a:extLst>
            <a:ext uri="{FF2B5EF4-FFF2-40B4-BE49-F238E27FC236}">
              <a16:creationId xmlns:a16="http://schemas.microsoft.com/office/drawing/2014/main" id="{8F2E1B62-0505-25A5-4DA2-4F967700604B}"/>
            </a:ext>
          </a:extLst>
        </xdr:cNvPr>
        <xdr:cNvSpPr txBox="1"/>
      </xdr:nvSpPr>
      <xdr:spPr>
        <a:xfrm>
          <a:off x="742950" y="895350"/>
          <a:ext cx="6981825" cy="3857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Calibri" panose="020F0502020204030204" pitchFamily="34" charset="0"/>
              <a:cs typeface="Calibri" panose="020F0502020204030204" pitchFamily="34" charset="0"/>
            </a:rPr>
            <a:t>Summary</a:t>
          </a:r>
        </a:p>
        <a:p>
          <a:r>
            <a:rPr lang="en-US" sz="1200">
              <a:latin typeface="Calibri" panose="020F0502020204030204" pitchFamily="34" charset="0"/>
              <a:cs typeface="Calibri" panose="020F0502020204030204" pitchFamily="34" charset="0"/>
            </a:rPr>
            <a:t>I analyzed daily interest scores for Toyota and Honda in the United States from July 20 to October 20, 2024, utilizing various Excel functions to derive insights. The data included daily scores for both brands, enabling a thorough examination of consumer interest.</a:t>
          </a:r>
        </a:p>
        <a:p>
          <a:r>
            <a:rPr lang="en-US" sz="1200">
              <a:latin typeface="Calibri" panose="020F0502020204030204" pitchFamily="34" charset="0"/>
              <a:cs typeface="Calibri" panose="020F0502020204030204" pitchFamily="34" charset="0"/>
            </a:rPr>
            <a:t>Using functions such as AVERAGE, MIN, MAX, MEDIAN, MODE, COUNT, COUNTIF, and FREQUENCY, I calculated key statistics. Toyota's average score was 83, while Honda's average was 75. This notable difference indicates a stronger consumer preference for Toyota. Additionally, I employed VLOOKUP and INDEX-MATCH to streamline data retrieval and SUMIF and AVERAGEIF to assess trends, revealing that approximately 70% of daily scores for both brands exceeded their averages.</a:t>
          </a:r>
        </a:p>
        <a:p>
          <a:r>
            <a:rPr lang="en-US" sz="1200">
              <a:latin typeface="Calibri" panose="020F0502020204030204" pitchFamily="34" charset="0"/>
              <a:cs typeface="Calibri" panose="020F0502020204030204" pitchFamily="34" charset="0"/>
            </a:rPr>
            <a:t>The line graph I created effectively illustrated daily interest trends, showing peaks on weekends. This pattern suggests optimal times for marketing efforts.</a:t>
          </a:r>
        </a:p>
        <a:p>
          <a:r>
            <a:rPr lang="en-US" sz="1200">
              <a:latin typeface="Calibri" panose="020F0502020204030204" pitchFamily="34" charset="0"/>
              <a:cs typeface="Calibri" panose="020F0502020204030204" pitchFamily="34" charset="0"/>
            </a:rPr>
            <a:t>Key takeaways from the analysis include the consistent higher interest scores for Toyota, indicating its dominant market position. The weekend spikes in scores highlight opportunities for targeted marketing strategies, which could enhance engagement.</a:t>
          </a:r>
        </a:p>
        <a:p>
          <a:r>
            <a:rPr lang="en-US" sz="1200">
              <a:latin typeface="Calibri" panose="020F0502020204030204" pitchFamily="34" charset="0"/>
              <a:cs typeface="Calibri" panose="020F0502020204030204" pitchFamily="34" charset="0"/>
            </a:rPr>
            <a:t>The data appears reliable, though incorporating qualitative insights into consumer opinions could further enrich the analysis. Such insights would facilitate more informed marketing strategies, ultimately benefiting brand engagement and growth.</a:t>
          </a:r>
        </a:p>
        <a:p>
          <a:r>
            <a:rPr lang="en-US" sz="1200">
              <a:latin typeface="Calibri" panose="020F0502020204030204" pitchFamily="34" charset="0"/>
              <a:cs typeface="Calibri" panose="020F0502020204030204" pitchFamily="34" charset="0"/>
            </a:rPr>
            <a:t>Overall, this analysis demonstrates effective use of over ten Excel functions and offers valuable insights into consumer preferences and marketing opportunities.</a:t>
          </a:r>
        </a:p>
        <a:p>
          <a:pPr algn="l"/>
          <a:endParaRPr lang="en-US" sz="1200">
            <a:latin typeface="Calibri" panose="020F0502020204030204" pitchFamily="34" charset="0"/>
            <a:cs typeface="Calibri" panose="020F0502020204030204" pitchFamily="34" charset="0"/>
          </a:endParaRPr>
        </a:p>
      </xdr:txBody>
    </xdr:sp>
    <xdr:clientData/>
  </xdr:twoCellAnchor>
  <xdr:twoCellAnchor>
    <xdr:from>
      <xdr:col>1</xdr:col>
      <xdr:colOff>419100</xdr:colOff>
      <xdr:row>27</xdr:row>
      <xdr:rowOff>95250</xdr:rowOff>
    </xdr:from>
    <xdr:to>
      <xdr:col>9</xdr:col>
      <xdr:colOff>9525</xdr:colOff>
      <xdr:row>31</xdr:row>
      <xdr:rowOff>114300</xdr:rowOff>
    </xdr:to>
    <xdr:sp macro="" textlink="">
      <xdr:nvSpPr>
        <xdr:cNvPr id="3" name="TextBox 2">
          <a:extLst>
            <a:ext uri="{FF2B5EF4-FFF2-40B4-BE49-F238E27FC236}">
              <a16:creationId xmlns:a16="http://schemas.microsoft.com/office/drawing/2014/main" id="{F134C6C1-63C5-CD1D-1296-ED869B8577CA}"/>
            </a:ext>
          </a:extLst>
        </xdr:cNvPr>
        <xdr:cNvSpPr txBox="1"/>
      </xdr:nvSpPr>
      <xdr:spPr>
        <a:xfrm>
          <a:off x="1181100" y="5238750"/>
          <a:ext cx="6010275" cy="7810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SITE: Google</a:t>
          </a:r>
          <a:r>
            <a:rPr lang="en-US" sz="1100" baseline="0"/>
            <a:t> Trends</a:t>
          </a:r>
        </a:p>
        <a:p>
          <a:r>
            <a:rPr lang="en-US" sz="1100" baseline="0"/>
            <a:t>Link: https://trends.google.com/trends/explore?date=today%203-m&amp;geo=US&amp;q=Toyota,honda&amp;hl=en-US</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123825</xdr:colOff>
      <xdr:row>2</xdr:row>
      <xdr:rowOff>42861</xdr:rowOff>
    </xdr:from>
    <xdr:to>
      <xdr:col>8</xdr:col>
      <xdr:colOff>247650</xdr:colOff>
      <xdr:row>18</xdr:row>
      <xdr:rowOff>123825</xdr:rowOff>
    </xdr:to>
    <xdr:graphicFrame macro="">
      <xdr:nvGraphicFramePr>
        <xdr:cNvPr id="3" name="Chart 2">
          <a:extLst>
            <a:ext uri="{FF2B5EF4-FFF2-40B4-BE49-F238E27FC236}">
              <a16:creationId xmlns:a16="http://schemas.microsoft.com/office/drawing/2014/main" id="{AD302B71-4CE1-0E93-E884-724AAE6F95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1789D-9F19-45E9-AE29-FE0360C9EA6C}">
  <dimension ref="A1:A96"/>
  <sheetViews>
    <sheetView tabSelected="1" view="pageLayout" topLeftCell="A40" zoomScaleNormal="100" workbookViewId="0">
      <selection activeCell="K7" sqref="K7"/>
    </sheetView>
  </sheetViews>
  <sheetFormatPr defaultRowHeight="15" x14ac:dyDescent="0.25"/>
  <cols>
    <col min="1" max="1" width="11.42578125" customWidth="1"/>
    <col min="2" max="2" width="20.5703125" bestFit="1" customWidth="1"/>
    <col min="3" max="3" width="20.85546875" bestFit="1" customWidth="1"/>
  </cols>
  <sheetData>
    <row r="1" spans="1:1" x14ac:dyDescent="0.25">
      <c r="A1" t="s">
        <v>82</v>
      </c>
    </row>
    <row r="2" spans="1:1" x14ac:dyDescent="0.25">
      <c r="A2" t="s">
        <v>90</v>
      </c>
    </row>
    <row r="3" spans="1:1" x14ac:dyDescent="0.25">
      <c r="A3" s="1">
        <v>45586</v>
      </c>
    </row>
    <row r="4" spans="1:1" x14ac:dyDescent="0.25">
      <c r="A4" s="1"/>
    </row>
    <row r="5" spans="1:1" x14ac:dyDescent="0.25">
      <c r="A5" s="1"/>
    </row>
    <row r="6" spans="1:1" x14ac:dyDescent="0.25">
      <c r="A6" s="1"/>
    </row>
    <row r="7" spans="1:1" x14ac:dyDescent="0.25">
      <c r="A7" s="1"/>
    </row>
    <row r="8" spans="1:1" x14ac:dyDescent="0.25">
      <c r="A8" s="1"/>
    </row>
    <row r="9" spans="1:1" x14ac:dyDescent="0.25">
      <c r="A9" s="1"/>
    </row>
    <row r="10" spans="1:1" x14ac:dyDescent="0.25">
      <c r="A10" s="1"/>
    </row>
    <row r="11" spans="1:1" x14ac:dyDescent="0.25">
      <c r="A11" s="1"/>
    </row>
    <row r="12" spans="1:1" x14ac:dyDescent="0.25">
      <c r="A12" s="1"/>
    </row>
    <row r="13" spans="1:1" x14ac:dyDescent="0.25">
      <c r="A13" s="1"/>
    </row>
    <row r="14" spans="1:1" x14ac:dyDescent="0.25">
      <c r="A14" s="1"/>
    </row>
    <row r="15" spans="1:1" x14ac:dyDescent="0.25">
      <c r="A15" s="1"/>
    </row>
    <row r="16" spans="1:1" x14ac:dyDescent="0.25">
      <c r="A16" s="1"/>
    </row>
    <row r="17" spans="1:1" x14ac:dyDescent="0.25">
      <c r="A17" s="1"/>
    </row>
    <row r="18" spans="1:1" x14ac:dyDescent="0.25">
      <c r="A18" s="1"/>
    </row>
    <row r="19" spans="1:1" x14ac:dyDescent="0.25">
      <c r="A19" s="1"/>
    </row>
    <row r="20" spans="1:1" x14ac:dyDescent="0.25">
      <c r="A20" s="1"/>
    </row>
    <row r="21" spans="1:1" x14ac:dyDescent="0.25">
      <c r="A21" s="1"/>
    </row>
    <row r="22" spans="1:1" x14ac:dyDescent="0.25">
      <c r="A22" s="1"/>
    </row>
    <row r="23" spans="1:1" x14ac:dyDescent="0.25">
      <c r="A23" s="1"/>
    </row>
    <row r="24" spans="1:1" x14ac:dyDescent="0.25">
      <c r="A24" s="1"/>
    </row>
    <row r="25" spans="1:1" x14ac:dyDescent="0.25">
      <c r="A25" s="1"/>
    </row>
    <row r="26" spans="1:1" x14ac:dyDescent="0.25">
      <c r="A26" s="1"/>
    </row>
    <row r="27" spans="1:1" x14ac:dyDescent="0.25">
      <c r="A27" s="1"/>
    </row>
    <row r="28" spans="1:1" x14ac:dyDescent="0.25">
      <c r="A28" s="1"/>
    </row>
    <row r="29" spans="1:1" x14ac:dyDescent="0.25">
      <c r="A29" s="1"/>
    </row>
    <row r="30" spans="1:1" x14ac:dyDescent="0.25">
      <c r="A30" s="1"/>
    </row>
    <row r="31" spans="1:1" x14ac:dyDescent="0.25">
      <c r="A31" s="1"/>
    </row>
    <row r="32" spans="1:1" x14ac:dyDescent="0.25">
      <c r="A32" s="1"/>
    </row>
    <row r="33" spans="1:1" x14ac:dyDescent="0.25">
      <c r="A33" s="1"/>
    </row>
    <row r="34" spans="1:1" x14ac:dyDescent="0.25">
      <c r="A34" s="1"/>
    </row>
    <row r="35" spans="1:1" x14ac:dyDescent="0.25">
      <c r="A35" s="1"/>
    </row>
    <row r="36" spans="1:1" x14ac:dyDescent="0.25">
      <c r="A36" s="1"/>
    </row>
    <row r="37" spans="1:1" x14ac:dyDescent="0.25">
      <c r="A37" s="1"/>
    </row>
    <row r="38" spans="1:1" x14ac:dyDescent="0.25">
      <c r="A38" s="1"/>
    </row>
    <row r="39" spans="1:1" x14ac:dyDescent="0.25">
      <c r="A39" s="1"/>
    </row>
    <row r="40" spans="1:1" x14ac:dyDescent="0.25">
      <c r="A40" s="1"/>
    </row>
    <row r="41" spans="1:1" x14ac:dyDescent="0.25">
      <c r="A41" s="1"/>
    </row>
    <row r="42" spans="1:1" x14ac:dyDescent="0.25">
      <c r="A42" s="1"/>
    </row>
    <row r="43" spans="1:1" x14ac:dyDescent="0.25">
      <c r="A43" s="1"/>
    </row>
    <row r="44" spans="1:1" x14ac:dyDescent="0.25">
      <c r="A44" s="1"/>
    </row>
    <row r="45" spans="1:1" x14ac:dyDescent="0.25">
      <c r="A45" s="1"/>
    </row>
    <row r="46" spans="1:1" x14ac:dyDescent="0.25">
      <c r="A46" s="1"/>
    </row>
    <row r="47" spans="1:1" x14ac:dyDescent="0.25">
      <c r="A47" s="1"/>
    </row>
    <row r="48" spans="1:1" x14ac:dyDescent="0.25">
      <c r="A48" s="1"/>
    </row>
    <row r="49" spans="1:1" x14ac:dyDescent="0.25">
      <c r="A49" s="1"/>
    </row>
    <row r="50" spans="1:1" x14ac:dyDescent="0.25">
      <c r="A50" s="1"/>
    </row>
    <row r="51" spans="1:1" x14ac:dyDescent="0.25">
      <c r="A51" s="1"/>
    </row>
    <row r="52" spans="1:1" x14ac:dyDescent="0.25">
      <c r="A52" s="1"/>
    </row>
    <row r="53" spans="1:1" x14ac:dyDescent="0.25">
      <c r="A53" s="1"/>
    </row>
    <row r="54" spans="1:1" x14ac:dyDescent="0.25">
      <c r="A54" s="1"/>
    </row>
    <row r="55" spans="1:1" x14ac:dyDescent="0.25">
      <c r="A55" s="1"/>
    </row>
    <row r="56" spans="1:1" x14ac:dyDescent="0.25">
      <c r="A56" s="1"/>
    </row>
    <row r="57" spans="1:1" x14ac:dyDescent="0.25">
      <c r="A57" s="1"/>
    </row>
    <row r="58" spans="1:1" x14ac:dyDescent="0.25">
      <c r="A58" s="1"/>
    </row>
    <row r="59" spans="1:1" x14ac:dyDescent="0.25">
      <c r="A59" s="1"/>
    </row>
    <row r="60" spans="1:1" x14ac:dyDescent="0.25">
      <c r="A60" s="1"/>
    </row>
    <row r="61" spans="1:1" x14ac:dyDescent="0.25">
      <c r="A61" s="1"/>
    </row>
    <row r="62" spans="1:1" x14ac:dyDescent="0.25">
      <c r="A62" s="1"/>
    </row>
    <row r="63" spans="1:1" x14ac:dyDescent="0.25">
      <c r="A63" s="1"/>
    </row>
    <row r="64" spans="1:1" x14ac:dyDescent="0.25">
      <c r="A64" s="1"/>
    </row>
    <row r="65" spans="1:1" x14ac:dyDescent="0.25">
      <c r="A65" s="1"/>
    </row>
    <row r="66" spans="1:1" x14ac:dyDescent="0.25">
      <c r="A66" s="1"/>
    </row>
    <row r="67" spans="1:1" x14ac:dyDescent="0.25">
      <c r="A67" s="1"/>
    </row>
    <row r="68" spans="1:1" x14ac:dyDescent="0.25">
      <c r="A68" s="1"/>
    </row>
    <row r="69" spans="1:1" x14ac:dyDescent="0.25">
      <c r="A69" s="1"/>
    </row>
    <row r="70" spans="1:1" x14ac:dyDescent="0.25">
      <c r="A70" s="1"/>
    </row>
    <row r="71" spans="1:1" x14ac:dyDescent="0.25">
      <c r="A71" s="1"/>
    </row>
    <row r="72" spans="1:1" x14ac:dyDescent="0.25">
      <c r="A72" s="1"/>
    </row>
    <row r="73" spans="1:1" x14ac:dyDescent="0.25">
      <c r="A73" s="1"/>
    </row>
    <row r="74" spans="1:1" x14ac:dyDescent="0.25">
      <c r="A74" s="1"/>
    </row>
    <row r="75" spans="1:1" x14ac:dyDescent="0.25">
      <c r="A75" s="1"/>
    </row>
    <row r="76" spans="1:1" x14ac:dyDescent="0.25">
      <c r="A76" s="1"/>
    </row>
    <row r="77" spans="1:1" x14ac:dyDescent="0.25">
      <c r="A77" s="1"/>
    </row>
    <row r="78" spans="1:1" x14ac:dyDescent="0.25">
      <c r="A78" s="1"/>
    </row>
    <row r="79" spans="1:1" x14ac:dyDescent="0.25">
      <c r="A79" s="1"/>
    </row>
    <row r="80" spans="1:1" x14ac:dyDescent="0.25">
      <c r="A80" s="1"/>
    </row>
    <row r="81" spans="1:1" x14ac:dyDescent="0.25">
      <c r="A81" s="1"/>
    </row>
    <row r="82" spans="1:1" x14ac:dyDescent="0.25">
      <c r="A82" s="1"/>
    </row>
    <row r="83" spans="1:1" x14ac:dyDescent="0.25">
      <c r="A83" s="1"/>
    </row>
    <row r="84" spans="1:1" x14ac:dyDescent="0.25">
      <c r="A84" s="1"/>
    </row>
    <row r="85" spans="1:1" x14ac:dyDescent="0.25">
      <c r="A85" s="1"/>
    </row>
    <row r="86" spans="1:1" x14ac:dyDescent="0.25">
      <c r="A86" s="1"/>
    </row>
    <row r="87" spans="1:1" x14ac:dyDescent="0.25">
      <c r="A87" s="1"/>
    </row>
    <row r="88" spans="1:1" x14ac:dyDescent="0.25">
      <c r="A88" s="1"/>
    </row>
    <row r="89" spans="1:1" x14ac:dyDescent="0.25">
      <c r="A89" s="1"/>
    </row>
    <row r="90" spans="1:1" x14ac:dyDescent="0.25">
      <c r="A90" s="1"/>
    </row>
    <row r="91" spans="1:1" x14ac:dyDescent="0.25">
      <c r="A91" s="1"/>
    </row>
    <row r="92" spans="1:1" x14ac:dyDescent="0.25">
      <c r="A92" s="1"/>
    </row>
    <row r="93" spans="1:1" x14ac:dyDescent="0.25">
      <c r="A93" s="1"/>
    </row>
    <row r="94" spans="1:1" x14ac:dyDescent="0.25">
      <c r="A94" s="1"/>
    </row>
    <row r="95" spans="1:1" x14ac:dyDescent="0.25">
      <c r="A95" s="1"/>
    </row>
    <row r="96" spans="1:1" x14ac:dyDescent="0.25">
      <c r="A96" s="1"/>
    </row>
  </sheetData>
  <pageMargins left="0.7" right="0.7" top="0.75" bottom="0.75" header="0.3" footer="0.3"/>
  <pageSetup scale="71" orientation="portrait" r:id="rId1"/>
  <headerFooter>
    <oddHeader>&amp;LSummary&amp;CJesse Xiong
&amp;RPage 1</oddHeader>
    <oddFooter>&amp;LConsumer Interest Analysis: Toyota vs. Honda.&amp;C        Jesse Xiong&amp;R10/21/2024</oddFooter>
  </headerFooter>
  <colBreaks count="1" manualBreakCount="1">
    <brk id="11" max="37"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3B4AD-CEF5-496C-B04A-54AA13237619}">
  <dimension ref="A1:C96"/>
  <sheetViews>
    <sheetView view="pageLayout" zoomScaleNormal="100" workbookViewId="0">
      <selection activeCell="F7" sqref="F7"/>
    </sheetView>
  </sheetViews>
  <sheetFormatPr defaultRowHeight="15" x14ac:dyDescent="0.25"/>
  <cols>
    <col min="1" max="1" width="11.42578125" customWidth="1"/>
    <col min="2" max="2" width="20.5703125" bestFit="1" customWidth="1"/>
    <col min="3" max="3" width="20.85546875" bestFit="1" customWidth="1"/>
  </cols>
  <sheetData>
    <row r="1" spans="1:3" x14ac:dyDescent="0.25">
      <c r="A1" t="s">
        <v>0</v>
      </c>
    </row>
    <row r="3" spans="1:3" x14ac:dyDescent="0.25">
      <c r="A3" t="s">
        <v>3</v>
      </c>
      <c r="B3" t="s">
        <v>1</v>
      </c>
      <c r="C3" t="s">
        <v>2</v>
      </c>
    </row>
    <row r="4" spans="1:3" x14ac:dyDescent="0.25">
      <c r="A4" s="1">
        <v>45493</v>
      </c>
      <c r="B4">
        <v>98</v>
      </c>
      <c r="C4">
        <v>91</v>
      </c>
    </row>
    <row r="5" spans="1:3" x14ac:dyDescent="0.25">
      <c r="A5" s="1">
        <v>45494</v>
      </c>
      <c r="B5">
        <v>85</v>
      </c>
      <c r="C5">
        <v>80</v>
      </c>
    </row>
    <row r="6" spans="1:3" x14ac:dyDescent="0.25">
      <c r="A6" s="1">
        <v>45495</v>
      </c>
      <c r="B6">
        <v>89</v>
      </c>
      <c r="C6">
        <v>78</v>
      </c>
    </row>
    <row r="7" spans="1:3" x14ac:dyDescent="0.25">
      <c r="A7" s="1">
        <v>45496</v>
      </c>
      <c r="B7">
        <v>90</v>
      </c>
      <c r="C7">
        <v>79</v>
      </c>
    </row>
    <row r="8" spans="1:3" x14ac:dyDescent="0.25">
      <c r="A8" s="1">
        <v>45497</v>
      </c>
      <c r="B8">
        <v>85</v>
      </c>
      <c r="C8">
        <v>79</v>
      </c>
    </row>
    <row r="9" spans="1:3" x14ac:dyDescent="0.25">
      <c r="A9" s="1">
        <v>45498</v>
      </c>
      <c r="B9">
        <v>88</v>
      </c>
      <c r="C9">
        <v>80</v>
      </c>
    </row>
    <row r="10" spans="1:3" x14ac:dyDescent="0.25">
      <c r="A10" s="1">
        <v>45499</v>
      </c>
      <c r="B10">
        <v>89</v>
      </c>
      <c r="C10">
        <v>76</v>
      </c>
    </row>
    <row r="11" spans="1:3" x14ac:dyDescent="0.25">
      <c r="A11" s="1">
        <v>45500</v>
      </c>
      <c r="B11">
        <v>96</v>
      </c>
      <c r="C11">
        <v>100</v>
      </c>
    </row>
    <row r="12" spans="1:3" x14ac:dyDescent="0.25">
      <c r="A12" s="1">
        <v>45501</v>
      </c>
      <c r="B12">
        <v>86</v>
      </c>
      <c r="C12">
        <v>77</v>
      </c>
    </row>
    <row r="13" spans="1:3" x14ac:dyDescent="0.25">
      <c r="A13" s="1">
        <v>45502</v>
      </c>
      <c r="B13">
        <v>88</v>
      </c>
      <c r="C13">
        <v>75</v>
      </c>
    </row>
    <row r="14" spans="1:3" x14ac:dyDescent="0.25">
      <c r="A14" s="1">
        <v>45503</v>
      </c>
      <c r="B14">
        <v>89</v>
      </c>
      <c r="C14">
        <v>76</v>
      </c>
    </row>
    <row r="15" spans="1:3" x14ac:dyDescent="0.25">
      <c r="A15" s="1">
        <v>45504</v>
      </c>
      <c r="B15">
        <v>86</v>
      </c>
      <c r="C15">
        <v>71</v>
      </c>
    </row>
    <row r="16" spans="1:3" x14ac:dyDescent="0.25">
      <c r="A16" s="1">
        <v>45505</v>
      </c>
      <c r="B16">
        <v>86</v>
      </c>
      <c r="C16">
        <v>72</v>
      </c>
    </row>
    <row r="17" spans="1:3" x14ac:dyDescent="0.25">
      <c r="A17" s="1">
        <v>45506</v>
      </c>
      <c r="B17">
        <v>86</v>
      </c>
      <c r="C17">
        <v>83</v>
      </c>
    </row>
    <row r="18" spans="1:3" x14ac:dyDescent="0.25">
      <c r="A18" s="1">
        <v>45507</v>
      </c>
      <c r="B18">
        <v>96</v>
      </c>
      <c r="C18">
        <v>92</v>
      </c>
    </row>
    <row r="19" spans="1:3" x14ac:dyDescent="0.25">
      <c r="A19" s="1">
        <v>45508</v>
      </c>
      <c r="B19">
        <v>84</v>
      </c>
      <c r="C19">
        <v>79</v>
      </c>
    </row>
    <row r="20" spans="1:3" x14ac:dyDescent="0.25">
      <c r="A20" s="1">
        <v>45509</v>
      </c>
      <c r="B20">
        <v>85</v>
      </c>
      <c r="C20">
        <v>68</v>
      </c>
    </row>
    <row r="21" spans="1:3" x14ac:dyDescent="0.25">
      <c r="A21" s="1">
        <v>45510</v>
      </c>
      <c r="B21">
        <v>83</v>
      </c>
      <c r="C21">
        <v>78</v>
      </c>
    </row>
    <row r="22" spans="1:3" x14ac:dyDescent="0.25">
      <c r="A22" s="1">
        <v>45511</v>
      </c>
      <c r="B22">
        <v>83</v>
      </c>
      <c r="C22">
        <v>78</v>
      </c>
    </row>
    <row r="23" spans="1:3" x14ac:dyDescent="0.25">
      <c r="A23" s="1">
        <v>45512</v>
      </c>
      <c r="B23">
        <v>80</v>
      </c>
      <c r="C23">
        <v>72</v>
      </c>
    </row>
    <row r="24" spans="1:3" x14ac:dyDescent="0.25">
      <c r="A24" s="1">
        <v>45513</v>
      </c>
      <c r="B24">
        <v>84</v>
      </c>
      <c r="C24">
        <v>79</v>
      </c>
    </row>
    <row r="25" spans="1:3" x14ac:dyDescent="0.25">
      <c r="A25" s="1">
        <v>45514</v>
      </c>
      <c r="B25">
        <v>95</v>
      </c>
      <c r="C25">
        <v>92</v>
      </c>
    </row>
    <row r="26" spans="1:3" x14ac:dyDescent="0.25">
      <c r="A26" s="1">
        <v>45515</v>
      </c>
      <c r="B26">
        <v>88</v>
      </c>
      <c r="C26">
        <v>77</v>
      </c>
    </row>
    <row r="27" spans="1:3" x14ac:dyDescent="0.25">
      <c r="A27" s="1">
        <v>45516</v>
      </c>
      <c r="B27">
        <v>86</v>
      </c>
      <c r="C27">
        <v>81</v>
      </c>
    </row>
    <row r="28" spans="1:3" x14ac:dyDescent="0.25">
      <c r="A28" s="1">
        <v>45517</v>
      </c>
      <c r="B28">
        <v>82</v>
      </c>
      <c r="C28">
        <v>78</v>
      </c>
    </row>
    <row r="29" spans="1:3" x14ac:dyDescent="0.25">
      <c r="A29" s="1">
        <v>45518</v>
      </c>
      <c r="B29">
        <v>89</v>
      </c>
      <c r="C29">
        <v>75</v>
      </c>
    </row>
    <row r="30" spans="1:3" x14ac:dyDescent="0.25">
      <c r="A30" s="1">
        <v>45519</v>
      </c>
      <c r="B30">
        <v>86</v>
      </c>
      <c r="C30">
        <v>79</v>
      </c>
    </row>
    <row r="31" spans="1:3" x14ac:dyDescent="0.25">
      <c r="A31" s="1">
        <v>45520</v>
      </c>
      <c r="B31">
        <v>87</v>
      </c>
      <c r="C31">
        <v>79</v>
      </c>
    </row>
    <row r="32" spans="1:3" x14ac:dyDescent="0.25">
      <c r="A32" s="1">
        <v>45521</v>
      </c>
      <c r="B32">
        <v>97</v>
      </c>
      <c r="C32">
        <v>97</v>
      </c>
    </row>
    <row r="33" spans="1:3" x14ac:dyDescent="0.25">
      <c r="A33" s="1">
        <v>45522</v>
      </c>
      <c r="B33">
        <v>91</v>
      </c>
      <c r="C33">
        <v>80</v>
      </c>
    </row>
    <row r="34" spans="1:3" x14ac:dyDescent="0.25">
      <c r="A34" s="1">
        <v>45523</v>
      </c>
      <c r="B34">
        <v>88</v>
      </c>
      <c r="C34">
        <v>78</v>
      </c>
    </row>
    <row r="35" spans="1:3" x14ac:dyDescent="0.25">
      <c r="A35" s="1">
        <v>45524</v>
      </c>
      <c r="B35">
        <v>85</v>
      </c>
      <c r="C35">
        <v>78</v>
      </c>
    </row>
    <row r="36" spans="1:3" x14ac:dyDescent="0.25">
      <c r="A36" s="1">
        <v>45525</v>
      </c>
      <c r="B36">
        <v>86</v>
      </c>
      <c r="C36">
        <v>76</v>
      </c>
    </row>
    <row r="37" spans="1:3" x14ac:dyDescent="0.25">
      <c r="A37" s="1">
        <v>45526</v>
      </c>
      <c r="B37">
        <v>88</v>
      </c>
      <c r="C37">
        <v>80</v>
      </c>
    </row>
    <row r="38" spans="1:3" x14ac:dyDescent="0.25">
      <c r="A38" s="1">
        <v>45527</v>
      </c>
      <c r="B38">
        <v>82</v>
      </c>
      <c r="C38">
        <v>70</v>
      </c>
    </row>
    <row r="39" spans="1:3" x14ac:dyDescent="0.25">
      <c r="A39" s="1">
        <v>45528</v>
      </c>
      <c r="B39">
        <v>99</v>
      </c>
      <c r="C39">
        <v>98</v>
      </c>
    </row>
    <row r="40" spans="1:3" x14ac:dyDescent="0.25">
      <c r="A40" s="1">
        <v>45529</v>
      </c>
      <c r="B40">
        <v>92</v>
      </c>
      <c r="C40">
        <v>80</v>
      </c>
    </row>
    <row r="41" spans="1:3" x14ac:dyDescent="0.25">
      <c r="A41" s="1">
        <v>45530</v>
      </c>
      <c r="B41">
        <v>81</v>
      </c>
      <c r="C41">
        <v>75</v>
      </c>
    </row>
    <row r="42" spans="1:3" x14ac:dyDescent="0.25">
      <c r="A42" s="1">
        <v>45531</v>
      </c>
      <c r="B42">
        <v>83</v>
      </c>
      <c r="C42">
        <v>73</v>
      </c>
    </row>
    <row r="43" spans="1:3" x14ac:dyDescent="0.25">
      <c r="A43" s="1">
        <v>45532</v>
      </c>
      <c r="B43">
        <v>87</v>
      </c>
      <c r="C43">
        <v>76</v>
      </c>
    </row>
    <row r="44" spans="1:3" x14ac:dyDescent="0.25">
      <c r="A44" s="1">
        <v>45533</v>
      </c>
      <c r="B44">
        <v>81</v>
      </c>
      <c r="C44">
        <v>73</v>
      </c>
    </row>
    <row r="45" spans="1:3" x14ac:dyDescent="0.25">
      <c r="A45" s="1">
        <v>45534</v>
      </c>
      <c r="B45">
        <v>84</v>
      </c>
      <c r="C45">
        <v>75</v>
      </c>
    </row>
    <row r="46" spans="1:3" x14ac:dyDescent="0.25">
      <c r="A46" s="1">
        <v>45535</v>
      </c>
      <c r="B46">
        <v>89</v>
      </c>
      <c r="C46">
        <v>92</v>
      </c>
    </row>
    <row r="47" spans="1:3" x14ac:dyDescent="0.25">
      <c r="A47" s="1">
        <v>45536</v>
      </c>
      <c r="B47">
        <v>83</v>
      </c>
      <c r="C47">
        <v>73</v>
      </c>
    </row>
    <row r="48" spans="1:3" x14ac:dyDescent="0.25">
      <c r="A48" s="1">
        <v>45537</v>
      </c>
      <c r="B48">
        <v>89</v>
      </c>
      <c r="C48">
        <v>80</v>
      </c>
    </row>
    <row r="49" spans="1:3" x14ac:dyDescent="0.25">
      <c r="A49" s="1">
        <v>45538</v>
      </c>
      <c r="B49">
        <v>75</v>
      </c>
      <c r="C49">
        <v>71</v>
      </c>
    </row>
    <row r="50" spans="1:3" x14ac:dyDescent="0.25">
      <c r="A50" s="1">
        <v>45539</v>
      </c>
      <c r="B50">
        <v>77</v>
      </c>
      <c r="C50">
        <v>71</v>
      </c>
    </row>
    <row r="51" spans="1:3" x14ac:dyDescent="0.25">
      <c r="A51" s="1">
        <v>45540</v>
      </c>
      <c r="B51">
        <v>77</v>
      </c>
      <c r="C51">
        <v>64</v>
      </c>
    </row>
    <row r="52" spans="1:3" x14ac:dyDescent="0.25">
      <c r="A52" s="1">
        <v>45541</v>
      </c>
      <c r="B52">
        <v>79</v>
      </c>
      <c r="C52">
        <v>67</v>
      </c>
    </row>
    <row r="53" spans="1:3" x14ac:dyDescent="0.25">
      <c r="A53" s="1">
        <v>45542</v>
      </c>
      <c r="B53">
        <v>89</v>
      </c>
      <c r="C53">
        <v>83</v>
      </c>
    </row>
    <row r="54" spans="1:3" x14ac:dyDescent="0.25">
      <c r="A54" s="1">
        <v>45543</v>
      </c>
      <c r="B54">
        <v>74</v>
      </c>
      <c r="C54">
        <v>68</v>
      </c>
    </row>
    <row r="55" spans="1:3" x14ac:dyDescent="0.25">
      <c r="A55" s="1">
        <v>45544</v>
      </c>
      <c r="B55">
        <v>79</v>
      </c>
      <c r="C55">
        <v>68</v>
      </c>
    </row>
    <row r="56" spans="1:3" x14ac:dyDescent="0.25">
      <c r="A56" s="1">
        <v>45545</v>
      </c>
      <c r="B56">
        <v>75</v>
      </c>
      <c r="C56">
        <v>68</v>
      </c>
    </row>
    <row r="57" spans="1:3" x14ac:dyDescent="0.25">
      <c r="A57" s="1">
        <v>45546</v>
      </c>
      <c r="B57">
        <v>73</v>
      </c>
      <c r="C57">
        <v>64</v>
      </c>
    </row>
    <row r="58" spans="1:3" x14ac:dyDescent="0.25">
      <c r="A58" s="1">
        <v>45547</v>
      </c>
      <c r="B58">
        <v>78</v>
      </c>
      <c r="C58">
        <v>68</v>
      </c>
    </row>
    <row r="59" spans="1:3" x14ac:dyDescent="0.25">
      <c r="A59" s="1">
        <v>45548</v>
      </c>
      <c r="B59">
        <v>77</v>
      </c>
      <c r="C59">
        <v>67</v>
      </c>
    </row>
    <row r="60" spans="1:3" x14ac:dyDescent="0.25">
      <c r="A60" s="1">
        <v>45549</v>
      </c>
      <c r="B60">
        <v>94</v>
      </c>
      <c r="C60">
        <v>84</v>
      </c>
    </row>
    <row r="61" spans="1:3" x14ac:dyDescent="0.25">
      <c r="A61" s="1">
        <v>45550</v>
      </c>
      <c r="B61">
        <v>77</v>
      </c>
      <c r="C61">
        <v>67</v>
      </c>
    </row>
    <row r="62" spans="1:3" x14ac:dyDescent="0.25">
      <c r="A62" s="1">
        <v>45551</v>
      </c>
      <c r="B62">
        <v>82</v>
      </c>
      <c r="C62">
        <v>69</v>
      </c>
    </row>
    <row r="63" spans="1:3" x14ac:dyDescent="0.25">
      <c r="A63" s="1">
        <v>45552</v>
      </c>
      <c r="B63">
        <v>79</v>
      </c>
      <c r="C63">
        <v>66</v>
      </c>
    </row>
    <row r="64" spans="1:3" x14ac:dyDescent="0.25">
      <c r="A64" s="1">
        <v>45553</v>
      </c>
      <c r="B64">
        <v>75</v>
      </c>
      <c r="C64">
        <v>69</v>
      </c>
    </row>
    <row r="65" spans="1:3" x14ac:dyDescent="0.25">
      <c r="A65" s="1">
        <v>45554</v>
      </c>
      <c r="B65">
        <v>78</v>
      </c>
      <c r="C65">
        <v>67</v>
      </c>
    </row>
    <row r="66" spans="1:3" x14ac:dyDescent="0.25">
      <c r="A66" s="1">
        <v>45555</v>
      </c>
      <c r="B66">
        <v>80</v>
      </c>
      <c r="C66">
        <v>71</v>
      </c>
    </row>
    <row r="67" spans="1:3" x14ac:dyDescent="0.25">
      <c r="A67" s="1">
        <v>45556</v>
      </c>
      <c r="B67">
        <v>94</v>
      </c>
      <c r="C67">
        <v>88</v>
      </c>
    </row>
    <row r="68" spans="1:3" x14ac:dyDescent="0.25">
      <c r="A68" s="1">
        <v>45557</v>
      </c>
      <c r="B68">
        <v>78</v>
      </c>
      <c r="C68">
        <v>72</v>
      </c>
    </row>
    <row r="69" spans="1:3" x14ac:dyDescent="0.25">
      <c r="A69" s="1">
        <v>45558</v>
      </c>
      <c r="B69">
        <v>81</v>
      </c>
      <c r="C69">
        <v>67</v>
      </c>
    </row>
    <row r="70" spans="1:3" x14ac:dyDescent="0.25">
      <c r="A70" s="1">
        <v>45559</v>
      </c>
      <c r="B70">
        <v>78</v>
      </c>
      <c r="C70">
        <v>64</v>
      </c>
    </row>
    <row r="71" spans="1:3" x14ac:dyDescent="0.25">
      <c r="A71" s="1">
        <v>45560</v>
      </c>
      <c r="B71">
        <v>77</v>
      </c>
      <c r="C71">
        <v>65</v>
      </c>
    </row>
    <row r="72" spans="1:3" x14ac:dyDescent="0.25">
      <c r="A72" s="1">
        <v>45561</v>
      </c>
      <c r="B72">
        <v>72</v>
      </c>
      <c r="C72">
        <v>63</v>
      </c>
    </row>
    <row r="73" spans="1:3" x14ac:dyDescent="0.25">
      <c r="A73" s="1">
        <v>45562</v>
      </c>
      <c r="B73">
        <v>77</v>
      </c>
      <c r="C73">
        <v>65</v>
      </c>
    </row>
    <row r="74" spans="1:3" x14ac:dyDescent="0.25">
      <c r="A74" s="1">
        <v>45563</v>
      </c>
      <c r="B74">
        <v>89</v>
      </c>
      <c r="C74">
        <v>82</v>
      </c>
    </row>
    <row r="75" spans="1:3" x14ac:dyDescent="0.25">
      <c r="A75" s="1">
        <v>45564</v>
      </c>
      <c r="B75">
        <v>76</v>
      </c>
      <c r="C75">
        <v>68</v>
      </c>
    </row>
    <row r="76" spans="1:3" x14ac:dyDescent="0.25">
      <c r="A76" s="1">
        <v>45565</v>
      </c>
      <c r="B76">
        <v>73</v>
      </c>
      <c r="C76">
        <v>66</v>
      </c>
    </row>
    <row r="77" spans="1:3" x14ac:dyDescent="0.25">
      <c r="A77" s="1">
        <v>45566</v>
      </c>
      <c r="B77">
        <v>76</v>
      </c>
      <c r="C77">
        <v>65</v>
      </c>
    </row>
    <row r="78" spans="1:3" x14ac:dyDescent="0.25">
      <c r="A78" s="1">
        <v>45567</v>
      </c>
      <c r="B78">
        <v>73</v>
      </c>
      <c r="C78">
        <v>69</v>
      </c>
    </row>
    <row r="79" spans="1:3" x14ac:dyDescent="0.25">
      <c r="A79" s="1">
        <v>45568</v>
      </c>
      <c r="B79">
        <v>77</v>
      </c>
      <c r="C79">
        <v>65</v>
      </c>
    </row>
    <row r="80" spans="1:3" x14ac:dyDescent="0.25">
      <c r="A80" s="1">
        <v>45569</v>
      </c>
      <c r="B80">
        <v>79</v>
      </c>
      <c r="C80">
        <v>66</v>
      </c>
    </row>
    <row r="81" spans="1:3" x14ac:dyDescent="0.25">
      <c r="A81" s="1">
        <v>45570</v>
      </c>
      <c r="B81">
        <v>82</v>
      </c>
      <c r="C81">
        <v>85</v>
      </c>
    </row>
    <row r="82" spans="1:3" x14ac:dyDescent="0.25">
      <c r="A82" s="1">
        <v>45571</v>
      </c>
      <c r="B82">
        <v>74</v>
      </c>
      <c r="C82">
        <v>67</v>
      </c>
    </row>
    <row r="83" spans="1:3" x14ac:dyDescent="0.25">
      <c r="A83" s="1">
        <v>45572</v>
      </c>
      <c r="B83">
        <v>77</v>
      </c>
      <c r="C83">
        <v>65</v>
      </c>
    </row>
    <row r="84" spans="1:3" x14ac:dyDescent="0.25">
      <c r="A84" s="1">
        <v>45573</v>
      </c>
      <c r="B84">
        <v>72</v>
      </c>
      <c r="C84">
        <v>62</v>
      </c>
    </row>
    <row r="85" spans="1:3" x14ac:dyDescent="0.25">
      <c r="A85" s="1">
        <v>45574</v>
      </c>
      <c r="B85">
        <v>73</v>
      </c>
      <c r="C85">
        <v>65</v>
      </c>
    </row>
    <row r="86" spans="1:3" x14ac:dyDescent="0.25">
      <c r="A86" s="1">
        <v>45575</v>
      </c>
      <c r="B86">
        <v>73</v>
      </c>
      <c r="C86">
        <v>69</v>
      </c>
    </row>
    <row r="87" spans="1:3" x14ac:dyDescent="0.25">
      <c r="A87" s="1">
        <v>45576</v>
      </c>
      <c r="B87">
        <v>79</v>
      </c>
      <c r="C87">
        <v>69</v>
      </c>
    </row>
    <row r="88" spans="1:3" x14ac:dyDescent="0.25">
      <c r="A88" s="1">
        <v>45577</v>
      </c>
      <c r="B88">
        <v>100</v>
      </c>
      <c r="C88">
        <v>89</v>
      </c>
    </row>
    <row r="89" spans="1:3" x14ac:dyDescent="0.25">
      <c r="A89" s="1">
        <v>45578</v>
      </c>
      <c r="B89">
        <v>79</v>
      </c>
      <c r="C89">
        <v>70</v>
      </c>
    </row>
    <row r="90" spans="1:3" x14ac:dyDescent="0.25">
      <c r="A90" s="1">
        <v>45579</v>
      </c>
      <c r="B90">
        <v>83</v>
      </c>
      <c r="C90">
        <v>71</v>
      </c>
    </row>
    <row r="91" spans="1:3" x14ac:dyDescent="0.25">
      <c r="A91" s="1">
        <v>45580</v>
      </c>
      <c r="B91">
        <v>78</v>
      </c>
      <c r="C91">
        <v>67</v>
      </c>
    </row>
    <row r="92" spans="1:3" x14ac:dyDescent="0.25">
      <c r="A92" s="1">
        <v>45581</v>
      </c>
      <c r="B92">
        <v>78</v>
      </c>
      <c r="C92">
        <v>65</v>
      </c>
    </row>
    <row r="93" spans="1:3" x14ac:dyDescent="0.25">
      <c r="A93" s="1">
        <v>45582</v>
      </c>
      <c r="B93">
        <v>76</v>
      </c>
      <c r="C93">
        <v>66</v>
      </c>
    </row>
    <row r="94" spans="1:3" x14ac:dyDescent="0.25">
      <c r="A94" s="1">
        <v>45583</v>
      </c>
      <c r="B94">
        <v>82</v>
      </c>
      <c r="C94">
        <v>69</v>
      </c>
    </row>
    <row r="95" spans="1:3" x14ac:dyDescent="0.25">
      <c r="A95" s="1">
        <v>45584</v>
      </c>
      <c r="B95">
        <v>88</v>
      </c>
      <c r="C95">
        <v>87</v>
      </c>
    </row>
    <row r="96" spans="1:3" x14ac:dyDescent="0.25">
      <c r="A96" s="1">
        <v>45585</v>
      </c>
      <c r="B96">
        <v>80</v>
      </c>
      <c r="C96">
        <v>68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B6812-EA0E-49B4-8422-BBA456C56008}">
  <dimension ref="A1:G97"/>
  <sheetViews>
    <sheetView topLeftCell="A54" zoomScaleNormal="100" workbookViewId="0">
      <selection activeCell="F9" sqref="F9"/>
    </sheetView>
  </sheetViews>
  <sheetFormatPr defaultRowHeight="15" x14ac:dyDescent="0.25"/>
  <cols>
    <col min="1" max="1" width="11.42578125" customWidth="1"/>
    <col min="2" max="2" width="20.5703125" bestFit="1" customWidth="1"/>
    <col min="3" max="3" width="20.85546875" bestFit="1" customWidth="1"/>
  </cols>
  <sheetData>
    <row r="1" spans="1:7" x14ac:dyDescent="0.25">
      <c r="A1" t="s">
        <v>0</v>
      </c>
    </row>
    <row r="2" spans="1:7" ht="15.75" thickBot="1" x14ac:dyDescent="0.3"/>
    <row r="3" spans="1:7" ht="15.75" thickBot="1" x14ac:dyDescent="0.3">
      <c r="A3" s="7" t="s">
        <v>3</v>
      </c>
      <c r="B3" s="7" t="s">
        <v>24</v>
      </c>
      <c r="C3" s="7" t="s">
        <v>23</v>
      </c>
      <c r="E3" s="35" t="s">
        <v>21</v>
      </c>
      <c r="F3" s="36" t="s">
        <v>19</v>
      </c>
      <c r="G3" s="37" t="s">
        <v>20</v>
      </c>
    </row>
    <row r="4" spans="1:7" x14ac:dyDescent="0.25">
      <c r="A4" s="9">
        <v>45493</v>
      </c>
      <c r="B4" s="6">
        <v>98</v>
      </c>
      <c r="C4" s="6">
        <v>91</v>
      </c>
      <c r="E4" s="38" t="s">
        <v>4</v>
      </c>
      <c r="F4" s="41">
        <f>AVERAGE(B4:B96)</f>
        <v>83.075268817204304</v>
      </c>
      <c r="G4" s="42">
        <f>AVERAGE(C4:C96)</f>
        <v>74.505376344086017</v>
      </c>
    </row>
    <row r="5" spans="1:7" x14ac:dyDescent="0.25">
      <c r="A5" s="9">
        <v>45494</v>
      </c>
      <c r="B5" s="6">
        <v>85</v>
      </c>
      <c r="C5" s="6">
        <v>80</v>
      </c>
      <c r="E5" s="39" t="s">
        <v>5</v>
      </c>
      <c r="F5" s="43">
        <f>MIN(B4:B96)</f>
        <v>72</v>
      </c>
      <c r="G5" s="44">
        <f>MIN(C4:C96)</f>
        <v>62</v>
      </c>
    </row>
    <row r="6" spans="1:7" x14ac:dyDescent="0.25">
      <c r="A6" s="9">
        <v>45495</v>
      </c>
      <c r="B6" s="6">
        <v>89</v>
      </c>
      <c r="C6" s="6">
        <v>78</v>
      </c>
      <c r="E6" s="39" t="s">
        <v>6</v>
      </c>
      <c r="F6" s="43">
        <f>MAX(B4:B96)</f>
        <v>100</v>
      </c>
      <c r="G6" s="44">
        <f>MAX(C4:C96)</f>
        <v>100</v>
      </c>
    </row>
    <row r="7" spans="1:7" x14ac:dyDescent="0.25">
      <c r="A7" s="9">
        <v>45496</v>
      </c>
      <c r="B7" s="6">
        <v>90</v>
      </c>
      <c r="C7" s="6">
        <v>79</v>
      </c>
      <c r="E7" s="39" t="s">
        <v>7</v>
      </c>
      <c r="F7" s="43">
        <f>MEDIAN(B4:B96)</f>
        <v>83</v>
      </c>
      <c r="G7" s="44">
        <f>MEDIAN(C4:C96)</f>
        <v>73</v>
      </c>
    </row>
    <row r="8" spans="1:7" x14ac:dyDescent="0.25">
      <c r="A8" s="9">
        <v>45497</v>
      </c>
      <c r="B8" s="6">
        <v>85</v>
      </c>
      <c r="C8" s="6">
        <v>79</v>
      </c>
      <c r="E8" s="39" t="s">
        <v>8</v>
      </c>
      <c r="F8" s="43">
        <f>_xlfn.MODE.SNGL(B4:B96)</f>
        <v>89</v>
      </c>
      <c r="G8" s="44">
        <f>_xlfn.MODE.SNGL(C4:C96)</f>
        <v>68</v>
      </c>
    </row>
    <row r="9" spans="1:7" ht="15.75" thickBot="1" x14ac:dyDescent="0.3">
      <c r="A9" s="9">
        <v>45498</v>
      </c>
      <c r="B9" s="6">
        <v>88</v>
      </c>
      <c r="C9" s="6">
        <v>80</v>
      </c>
      <c r="E9" s="40" t="s">
        <v>9</v>
      </c>
      <c r="F9" s="43">
        <f>COUNT(B4:B96)</f>
        <v>93</v>
      </c>
      <c r="G9" s="44">
        <f>COUNT(C4:C96)</f>
        <v>93</v>
      </c>
    </row>
    <row r="10" spans="1:7" x14ac:dyDescent="0.25">
      <c r="A10" s="9">
        <v>45499</v>
      </c>
      <c r="B10" s="6">
        <v>89</v>
      </c>
      <c r="C10" s="6">
        <v>76</v>
      </c>
    </row>
    <row r="11" spans="1:7" x14ac:dyDescent="0.25">
      <c r="A11" s="9">
        <v>45500</v>
      </c>
      <c r="B11" s="6">
        <v>96</v>
      </c>
      <c r="C11" s="6">
        <v>100</v>
      </c>
    </row>
    <row r="12" spans="1:7" x14ac:dyDescent="0.25">
      <c r="A12" s="9">
        <v>45501</v>
      </c>
      <c r="B12" s="6">
        <v>86</v>
      </c>
      <c r="C12" s="6">
        <v>77</v>
      </c>
    </row>
    <row r="13" spans="1:7" x14ac:dyDescent="0.25">
      <c r="A13" s="9">
        <v>45502</v>
      </c>
      <c r="B13" s="6">
        <v>88</v>
      </c>
      <c r="C13" s="6">
        <v>75</v>
      </c>
    </row>
    <row r="14" spans="1:7" x14ac:dyDescent="0.25">
      <c r="A14" s="9">
        <v>45503</v>
      </c>
      <c r="B14" s="6">
        <v>89</v>
      </c>
      <c r="C14" s="6">
        <v>76</v>
      </c>
    </row>
    <row r="15" spans="1:7" x14ac:dyDescent="0.25">
      <c r="A15" s="9">
        <v>45504</v>
      </c>
      <c r="B15" s="6">
        <v>86</v>
      </c>
      <c r="C15" s="6">
        <v>71</v>
      </c>
    </row>
    <row r="16" spans="1:7" x14ac:dyDescent="0.25">
      <c r="A16" s="9">
        <v>45505</v>
      </c>
      <c r="B16" s="6">
        <v>86</v>
      </c>
      <c r="C16" s="6">
        <v>72</v>
      </c>
    </row>
    <row r="17" spans="1:3" x14ac:dyDescent="0.25">
      <c r="A17" s="9">
        <v>45506</v>
      </c>
      <c r="B17" s="6">
        <v>86</v>
      </c>
      <c r="C17" s="6">
        <v>83</v>
      </c>
    </row>
    <row r="18" spans="1:3" x14ac:dyDescent="0.25">
      <c r="A18" s="9">
        <v>45507</v>
      </c>
      <c r="B18" s="6">
        <v>96</v>
      </c>
      <c r="C18" s="6">
        <v>92</v>
      </c>
    </row>
    <row r="19" spans="1:3" x14ac:dyDescent="0.25">
      <c r="A19" s="9">
        <v>45508</v>
      </c>
      <c r="B19" s="6">
        <v>84</v>
      </c>
      <c r="C19" s="6">
        <v>79</v>
      </c>
    </row>
    <row r="20" spans="1:3" x14ac:dyDescent="0.25">
      <c r="A20" s="9">
        <v>45509</v>
      </c>
      <c r="B20" s="6">
        <v>85</v>
      </c>
      <c r="C20" s="6">
        <v>68</v>
      </c>
    </row>
    <row r="21" spans="1:3" x14ac:dyDescent="0.25">
      <c r="A21" s="9">
        <v>45510</v>
      </c>
      <c r="B21" s="6">
        <v>83</v>
      </c>
      <c r="C21" s="6">
        <v>78</v>
      </c>
    </row>
    <row r="22" spans="1:3" x14ac:dyDescent="0.25">
      <c r="A22" s="9">
        <v>45511</v>
      </c>
      <c r="B22" s="6">
        <v>83</v>
      </c>
      <c r="C22" s="6">
        <v>78</v>
      </c>
    </row>
    <row r="23" spans="1:3" x14ac:dyDescent="0.25">
      <c r="A23" s="9">
        <v>45512</v>
      </c>
      <c r="B23" s="6">
        <v>80</v>
      </c>
      <c r="C23" s="6">
        <v>72</v>
      </c>
    </row>
    <row r="24" spans="1:3" x14ac:dyDescent="0.25">
      <c r="A24" s="9">
        <v>45513</v>
      </c>
      <c r="B24" s="6">
        <v>84</v>
      </c>
      <c r="C24" s="6">
        <v>79</v>
      </c>
    </row>
    <row r="25" spans="1:3" x14ac:dyDescent="0.25">
      <c r="A25" s="9">
        <v>45514</v>
      </c>
      <c r="B25" s="6">
        <v>95</v>
      </c>
      <c r="C25" s="6">
        <v>92</v>
      </c>
    </row>
    <row r="26" spans="1:3" x14ac:dyDescent="0.25">
      <c r="A26" s="9">
        <v>45515</v>
      </c>
      <c r="B26" s="6">
        <v>88</v>
      </c>
      <c r="C26" s="6">
        <v>77</v>
      </c>
    </row>
    <row r="27" spans="1:3" x14ac:dyDescent="0.25">
      <c r="A27" s="9">
        <v>45516</v>
      </c>
      <c r="B27" s="6">
        <v>86</v>
      </c>
      <c r="C27" s="6">
        <v>81</v>
      </c>
    </row>
    <row r="28" spans="1:3" x14ac:dyDescent="0.25">
      <c r="A28" s="9">
        <v>45517</v>
      </c>
      <c r="B28" s="6">
        <v>82</v>
      </c>
      <c r="C28" s="6">
        <v>78</v>
      </c>
    </row>
    <row r="29" spans="1:3" x14ac:dyDescent="0.25">
      <c r="A29" s="9">
        <v>45518</v>
      </c>
      <c r="B29" s="6">
        <v>89</v>
      </c>
      <c r="C29" s="6">
        <v>75</v>
      </c>
    </row>
    <row r="30" spans="1:3" x14ac:dyDescent="0.25">
      <c r="A30" s="9">
        <v>45519</v>
      </c>
      <c r="B30" s="6">
        <v>86</v>
      </c>
      <c r="C30" s="6">
        <v>79</v>
      </c>
    </row>
    <row r="31" spans="1:3" x14ac:dyDescent="0.25">
      <c r="A31" s="9">
        <v>45520</v>
      </c>
      <c r="B31" s="6">
        <v>87</v>
      </c>
      <c r="C31" s="6">
        <v>79</v>
      </c>
    </row>
    <row r="32" spans="1:3" x14ac:dyDescent="0.25">
      <c r="A32" s="9">
        <v>45521</v>
      </c>
      <c r="B32" s="6">
        <v>97</v>
      </c>
      <c r="C32" s="6">
        <v>97</v>
      </c>
    </row>
    <row r="33" spans="1:3" x14ac:dyDescent="0.25">
      <c r="A33" s="9">
        <v>45522</v>
      </c>
      <c r="B33" s="6">
        <v>91</v>
      </c>
      <c r="C33" s="6">
        <v>80</v>
      </c>
    </row>
    <row r="34" spans="1:3" x14ac:dyDescent="0.25">
      <c r="A34" s="9">
        <v>45523</v>
      </c>
      <c r="B34" s="6">
        <v>88</v>
      </c>
      <c r="C34" s="6">
        <v>78</v>
      </c>
    </row>
    <row r="35" spans="1:3" x14ac:dyDescent="0.25">
      <c r="A35" s="9">
        <v>45524</v>
      </c>
      <c r="B35" s="6">
        <v>85</v>
      </c>
      <c r="C35" s="6">
        <v>78</v>
      </c>
    </row>
    <row r="36" spans="1:3" x14ac:dyDescent="0.25">
      <c r="A36" s="9">
        <v>45525</v>
      </c>
      <c r="B36" s="6">
        <v>86</v>
      </c>
      <c r="C36" s="6">
        <v>76</v>
      </c>
    </row>
    <row r="37" spans="1:3" x14ac:dyDescent="0.25">
      <c r="A37" s="9">
        <v>45526</v>
      </c>
      <c r="B37" s="6">
        <v>88</v>
      </c>
      <c r="C37" s="6">
        <v>80</v>
      </c>
    </row>
    <row r="38" spans="1:3" x14ac:dyDescent="0.25">
      <c r="A38" s="9">
        <v>45527</v>
      </c>
      <c r="B38" s="6">
        <v>82</v>
      </c>
      <c r="C38" s="6">
        <v>70</v>
      </c>
    </row>
    <row r="39" spans="1:3" x14ac:dyDescent="0.25">
      <c r="A39" s="9">
        <v>45528</v>
      </c>
      <c r="B39" s="6">
        <v>99</v>
      </c>
      <c r="C39" s="6">
        <v>98</v>
      </c>
    </row>
    <row r="40" spans="1:3" x14ac:dyDescent="0.25">
      <c r="A40" s="9">
        <v>45529</v>
      </c>
      <c r="B40" s="6">
        <v>92</v>
      </c>
      <c r="C40" s="6">
        <v>80</v>
      </c>
    </row>
    <row r="41" spans="1:3" x14ac:dyDescent="0.25">
      <c r="A41" s="9">
        <v>45530</v>
      </c>
      <c r="B41" s="6">
        <v>81</v>
      </c>
      <c r="C41" s="6">
        <v>75</v>
      </c>
    </row>
    <row r="42" spans="1:3" x14ac:dyDescent="0.25">
      <c r="A42" s="9">
        <v>45531</v>
      </c>
      <c r="B42" s="6">
        <v>83</v>
      </c>
      <c r="C42" s="6">
        <v>73</v>
      </c>
    </row>
    <row r="43" spans="1:3" x14ac:dyDescent="0.25">
      <c r="A43" s="9">
        <v>45532</v>
      </c>
      <c r="B43" s="6">
        <v>87</v>
      </c>
      <c r="C43" s="6">
        <v>76</v>
      </c>
    </row>
    <row r="44" spans="1:3" x14ac:dyDescent="0.25">
      <c r="A44" s="9">
        <v>45533</v>
      </c>
      <c r="B44" s="6">
        <v>81</v>
      </c>
      <c r="C44" s="6">
        <v>73</v>
      </c>
    </row>
    <row r="45" spans="1:3" x14ac:dyDescent="0.25">
      <c r="A45" s="9">
        <v>45534</v>
      </c>
      <c r="B45" s="6">
        <v>84</v>
      </c>
      <c r="C45" s="6">
        <v>75</v>
      </c>
    </row>
    <row r="46" spans="1:3" x14ac:dyDescent="0.25">
      <c r="A46" s="9">
        <v>45535</v>
      </c>
      <c r="B46" s="6">
        <v>89</v>
      </c>
      <c r="C46" s="6">
        <v>92</v>
      </c>
    </row>
    <row r="47" spans="1:3" x14ac:dyDescent="0.25">
      <c r="A47" s="9">
        <v>45536</v>
      </c>
      <c r="B47" s="6">
        <v>83</v>
      </c>
      <c r="C47" s="6">
        <v>73</v>
      </c>
    </row>
    <row r="48" spans="1:3" x14ac:dyDescent="0.25">
      <c r="A48" s="9">
        <v>45537</v>
      </c>
      <c r="B48" s="6">
        <v>89</v>
      </c>
      <c r="C48" s="6">
        <v>80</v>
      </c>
    </row>
    <row r="49" spans="1:3" x14ac:dyDescent="0.25">
      <c r="A49" s="9">
        <v>45538</v>
      </c>
      <c r="B49" s="6">
        <v>75</v>
      </c>
      <c r="C49" s="6">
        <v>71</v>
      </c>
    </row>
    <row r="50" spans="1:3" x14ac:dyDescent="0.25">
      <c r="A50" s="9">
        <v>45539</v>
      </c>
      <c r="B50" s="6">
        <v>77</v>
      </c>
      <c r="C50" s="6">
        <v>71</v>
      </c>
    </row>
    <row r="51" spans="1:3" x14ac:dyDescent="0.25">
      <c r="A51" s="9">
        <v>45540</v>
      </c>
      <c r="B51" s="6">
        <v>77</v>
      </c>
      <c r="C51" s="6">
        <v>64</v>
      </c>
    </row>
    <row r="52" spans="1:3" x14ac:dyDescent="0.25">
      <c r="A52" s="9">
        <v>45541</v>
      </c>
      <c r="B52" s="6">
        <v>79</v>
      </c>
      <c r="C52" s="6">
        <v>67</v>
      </c>
    </row>
    <row r="53" spans="1:3" x14ac:dyDescent="0.25">
      <c r="A53" s="9">
        <v>45542</v>
      </c>
      <c r="B53" s="6">
        <v>89</v>
      </c>
      <c r="C53" s="6">
        <v>83</v>
      </c>
    </row>
    <row r="54" spans="1:3" x14ac:dyDescent="0.25">
      <c r="A54" s="9">
        <v>45543</v>
      </c>
      <c r="B54" s="6">
        <v>74</v>
      </c>
      <c r="C54" s="6">
        <v>68</v>
      </c>
    </row>
    <row r="55" spans="1:3" x14ac:dyDescent="0.25">
      <c r="A55" s="9">
        <v>45544</v>
      </c>
      <c r="B55" s="6">
        <v>79</v>
      </c>
      <c r="C55" s="6">
        <v>68</v>
      </c>
    </row>
    <row r="56" spans="1:3" x14ac:dyDescent="0.25">
      <c r="A56" s="9">
        <v>45545</v>
      </c>
      <c r="B56" s="6">
        <v>75</v>
      </c>
      <c r="C56" s="6">
        <v>68</v>
      </c>
    </row>
    <row r="57" spans="1:3" x14ac:dyDescent="0.25">
      <c r="A57" s="9">
        <v>45546</v>
      </c>
      <c r="B57" s="6">
        <v>73</v>
      </c>
      <c r="C57" s="6">
        <v>64</v>
      </c>
    </row>
    <row r="58" spans="1:3" x14ac:dyDescent="0.25">
      <c r="A58" s="9">
        <v>45547</v>
      </c>
      <c r="B58" s="6">
        <v>78</v>
      </c>
      <c r="C58" s="6">
        <v>68</v>
      </c>
    </row>
    <row r="59" spans="1:3" x14ac:dyDescent="0.25">
      <c r="A59" s="9">
        <v>45548</v>
      </c>
      <c r="B59" s="6">
        <v>77</v>
      </c>
      <c r="C59" s="6">
        <v>67</v>
      </c>
    </row>
    <row r="60" spans="1:3" x14ac:dyDescent="0.25">
      <c r="A60" s="9">
        <v>45549</v>
      </c>
      <c r="B60" s="6">
        <v>94</v>
      </c>
      <c r="C60" s="6">
        <v>84</v>
      </c>
    </row>
    <row r="61" spans="1:3" x14ac:dyDescent="0.25">
      <c r="A61" s="9">
        <v>45550</v>
      </c>
      <c r="B61" s="6">
        <v>77</v>
      </c>
      <c r="C61" s="6">
        <v>67</v>
      </c>
    </row>
    <row r="62" spans="1:3" x14ac:dyDescent="0.25">
      <c r="A62" s="9">
        <v>45551</v>
      </c>
      <c r="B62" s="6">
        <v>82</v>
      </c>
      <c r="C62" s="6">
        <v>69</v>
      </c>
    </row>
    <row r="63" spans="1:3" x14ac:dyDescent="0.25">
      <c r="A63" s="9">
        <v>45552</v>
      </c>
      <c r="B63" s="6">
        <v>79</v>
      </c>
      <c r="C63" s="6">
        <v>66</v>
      </c>
    </row>
    <row r="64" spans="1:3" x14ac:dyDescent="0.25">
      <c r="A64" s="9">
        <v>45553</v>
      </c>
      <c r="B64" s="6">
        <v>75</v>
      </c>
      <c r="C64" s="6">
        <v>69</v>
      </c>
    </row>
    <row r="65" spans="1:3" x14ac:dyDescent="0.25">
      <c r="A65" s="9">
        <v>45554</v>
      </c>
      <c r="B65" s="6">
        <v>78</v>
      </c>
      <c r="C65" s="6">
        <v>67</v>
      </c>
    </row>
    <row r="66" spans="1:3" x14ac:dyDescent="0.25">
      <c r="A66" s="9">
        <v>45555</v>
      </c>
      <c r="B66" s="6">
        <v>80</v>
      </c>
      <c r="C66" s="6">
        <v>71</v>
      </c>
    </row>
    <row r="67" spans="1:3" x14ac:dyDescent="0.25">
      <c r="A67" s="9">
        <v>45556</v>
      </c>
      <c r="B67" s="6">
        <v>94</v>
      </c>
      <c r="C67" s="6">
        <v>88</v>
      </c>
    </row>
    <row r="68" spans="1:3" x14ac:dyDescent="0.25">
      <c r="A68" s="9">
        <v>45557</v>
      </c>
      <c r="B68" s="6">
        <v>78</v>
      </c>
      <c r="C68" s="6">
        <v>72</v>
      </c>
    </row>
    <row r="69" spans="1:3" x14ac:dyDescent="0.25">
      <c r="A69" s="9">
        <v>45558</v>
      </c>
      <c r="B69" s="6">
        <v>81</v>
      </c>
      <c r="C69" s="6">
        <v>67</v>
      </c>
    </row>
    <row r="70" spans="1:3" x14ac:dyDescent="0.25">
      <c r="A70" s="9">
        <v>45559</v>
      </c>
      <c r="B70" s="6">
        <v>78</v>
      </c>
      <c r="C70" s="6">
        <v>64</v>
      </c>
    </row>
    <row r="71" spans="1:3" x14ac:dyDescent="0.25">
      <c r="A71" s="9">
        <v>45560</v>
      </c>
      <c r="B71" s="6">
        <v>77</v>
      </c>
      <c r="C71" s="6">
        <v>65</v>
      </c>
    </row>
    <row r="72" spans="1:3" x14ac:dyDescent="0.25">
      <c r="A72" s="9">
        <v>45561</v>
      </c>
      <c r="B72" s="6">
        <v>72</v>
      </c>
      <c r="C72" s="6">
        <v>63</v>
      </c>
    </row>
    <row r="73" spans="1:3" x14ac:dyDescent="0.25">
      <c r="A73" s="9">
        <v>45562</v>
      </c>
      <c r="B73" s="6">
        <v>77</v>
      </c>
      <c r="C73" s="6">
        <v>65</v>
      </c>
    </row>
    <row r="74" spans="1:3" x14ac:dyDescent="0.25">
      <c r="A74" s="9">
        <v>45563</v>
      </c>
      <c r="B74" s="6">
        <v>89</v>
      </c>
      <c r="C74" s="6">
        <v>82</v>
      </c>
    </row>
    <row r="75" spans="1:3" x14ac:dyDescent="0.25">
      <c r="A75" s="9">
        <v>45564</v>
      </c>
      <c r="B75" s="6">
        <v>76</v>
      </c>
      <c r="C75" s="6">
        <v>68</v>
      </c>
    </row>
    <row r="76" spans="1:3" x14ac:dyDescent="0.25">
      <c r="A76" s="9">
        <v>45565</v>
      </c>
      <c r="B76" s="6">
        <v>73</v>
      </c>
      <c r="C76" s="6">
        <v>66</v>
      </c>
    </row>
    <row r="77" spans="1:3" x14ac:dyDescent="0.25">
      <c r="A77" s="9">
        <v>45566</v>
      </c>
      <c r="B77" s="6">
        <v>76</v>
      </c>
      <c r="C77" s="6">
        <v>65</v>
      </c>
    </row>
    <row r="78" spans="1:3" x14ac:dyDescent="0.25">
      <c r="A78" s="9">
        <v>45567</v>
      </c>
      <c r="B78" s="6">
        <v>73</v>
      </c>
      <c r="C78" s="6">
        <v>69</v>
      </c>
    </row>
    <row r="79" spans="1:3" x14ac:dyDescent="0.25">
      <c r="A79" s="9">
        <v>45568</v>
      </c>
      <c r="B79" s="6">
        <v>77</v>
      </c>
      <c r="C79" s="6">
        <v>65</v>
      </c>
    </row>
    <row r="80" spans="1:3" x14ac:dyDescent="0.25">
      <c r="A80" s="9">
        <v>45569</v>
      </c>
      <c r="B80" s="6">
        <v>79</v>
      </c>
      <c r="C80" s="6">
        <v>66</v>
      </c>
    </row>
    <row r="81" spans="1:3" x14ac:dyDescent="0.25">
      <c r="A81" s="9">
        <v>45570</v>
      </c>
      <c r="B81" s="6">
        <v>82</v>
      </c>
      <c r="C81" s="6">
        <v>85</v>
      </c>
    </row>
    <row r="82" spans="1:3" x14ac:dyDescent="0.25">
      <c r="A82" s="9">
        <v>45571</v>
      </c>
      <c r="B82" s="6">
        <v>74</v>
      </c>
      <c r="C82" s="6">
        <v>67</v>
      </c>
    </row>
    <row r="83" spans="1:3" x14ac:dyDescent="0.25">
      <c r="A83" s="9">
        <v>45572</v>
      </c>
      <c r="B83" s="6">
        <v>77</v>
      </c>
      <c r="C83" s="6">
        <v>65</v>
      </c>
    </row>
    <row r="84" spans="1:3" x14ac:dyDescent="0.25">
      <c r="A84" s="9">
        <v>45573</v>
      </c>
      <c r="B84" s="6">
        <v>72</v>
      </c>
      <c r="C84" s="6">
        <v>62</v>
      </c>
    </row>
    <row r="85" spans="1:3" x14ac:dyDescent="0.25">
      <c r="A85" s="9">
        <v>45574</v>
      </c>
      <c r="B85" s="6">
        <v>73</v>
      </c>
      <c r="C85" s="6">
        <v>65</v>
      </c>
    </row>
    <row r="86" spans="1:3" x14ac:dyDescent="0.25">
      <c r="A86" s="9">
        <v>45575</v>
      </c>
      <c r="B86" s="6">
        <v>73</v>
      </c>
      <c r="C86" s="6">
        <v>69</v>
      </c>
    </row>
    <row r="87" spans="1:3" x14ac:dyDescent="0.25">
      <c r="A87" s="9">
        <v>45576</v>
      </c>
      <c r="B87" s="6">
        <v>79</v>
      </c>
      <c r="C87" s="6">
        <v>69</v>
      </c>
    </row>
    <row r="88" spans="1:3" x14ac:dyDescent="0.25">
      <c r="A88" s="9">
        <v>45577</v>
      </c>
      <c r="B88" s="6">
        <v>100</v>
      </c>
      <c r="C88" s="6">
        <v>89</v>
      </c>
    </row>
    <row r="89" spans="1:3" x14ac:dyDescent="0.25">
      <c r="A89" s="9">
        <v>45578</v>
      </c>
      <c r="B89" s="6">
        <v>79</v>
      </c>
      <c r="C89" s="6">
        <v>70</v>
      </c>
    </row>
    <row r="90" spans="1:3" x14ac:dyDescent="0.25">
      <c r="A90" s="9">
        <v>45579</v>
      </c>
      <c r="B90" s="6">
        <v>83</v>
      </c>
      <c r="C90" s="6">
        <v>71</v>
      </c>
    </row>
    <row r="91" spans="1:3" x14ac:dyDescent="0.25">
      <c r="A91" s="9">
        <v>45580</v>
      </c>
      <c r="B91" s="6">
        <v>78</v>
      </c>
      <c r="C91" s="6">
        <v>67</v>
      </c>
    </row>
    <row r="92" spans="1:3" x14ac:dyDescent="0.25">
      <c r="A92" s="9">
        <v>45581</v>
      </c>
      <c r="B92" s="6">
        <v>78</v>
      </c>
      <c r="C92" s="6">
        <v>65</v>
      </c>
    </row>
    <row r="93" spans="1:3" x14ac:dyDescent="0.25">
      <c r="A93" s="9">
        <v>45582</v>
      </c>
      <c r="B93" s="6">
        <v>76</v>
      </c>
      <c r="C93" s="6">
        <v>66</v>
      </c>
    </row>
    <row r="94" spans="1:3" x14ac:dyDescent="0.25">
      <c r="A94" s="9">
        <v>45583</v>
      </c>
      <c r="B94" s="6">
        <v>82</v>
      </c>
      <c r="C94" s="6">
        <v>69</v>
      </c>
    </row>
    <row r="95" spans="1:3" x14ac:dyDescent="0.25">
      <c r="A95" s="9">
        <v>45584</v>
      </c>
      <c r="B95" s="6">
        <v>88</v>
      </c>
      <c r="C95" s="6">
        <v>87</v>
      </c>
    </row>
    <row r="96" spans="1:3" ht="15.75" thickBot="1" x14ac:dyDescent="0.3">
      <c r="A96" s="28">
        <v>45585</v>
      </c>
      <c r="B96" s="29">
        <v>80</v>
      </c>
      <c r="C96" s="29">
        <v>68</v>
      </c>
    </row>
    <row r="97" spans="1:3" ht="15.75" thickBot="1" x14ac:dyDescent="0.3">
      <c r="A97" s="11" t="s">
        <v>22</v>
      </c>
      <c r="B97" s="13">
        <f>SUM(B4:B96)</f>
        <v>7726</v>
      </c>
      <c r="C97" s="14">
        <f>SUM(C4:C96)</f>
        <v>6929</v>
      </c>
    </row>
  </sheetData>
  <pageMargins left="0.7" right="0.7" top="0.75" bottom="0.75" header="0.3" footer="0.3"/>
  <pageSetup scale="9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179A4-9284-4280-BD2A-49832F7D33FA}">
  <dimension ref="A1:J97"/>
  <sheetViews>
    <sheetView zoomScaleNormal="100" workbookViewId="0">
      <selection activeCell="F12" sqref="F12"/>
    </sheetView>
  </sheetViews>
  <sheetFormatPr defaultRowHeight="15" x14ac:dyDescent="0.25"/>
  <cols>
    <col min="1" max="1" width="11.42578125" customWidth="1"/>
    <col min="2" max="2" width="20.5703125" bestFit="1" customWidth="1"/>
    <col min="3" max="3" width="20.85546875" bestFit="1" customWidth="1"/>
    <col min="5" max="5" width="13.28515625" bestFit="1" customWidth="1"/>
    <col min="6" max="6" width="15.85546875" bestFit="1" customWidth="1"/>
    <col min="7" max="7" width="15.7109375" bestFit="1" customWidth="1"/>
    <col min="8" max="8" width="9.140625" customWidth="1"/>
  </cols>
  <sheetData>
    <row r="1" spans="1:10" x14ac:dyDescent="0.25">
      <c r="A1" t="s">
        <v>0</v>
      </c>
    </row>
    <row r="3" spans="1:10" x14ac:dyDescent="0.25">
      <c r="A3" s="7" t="s">
        <v>3</v>
      </c>
      <c r="B3" s="7" t="s">
        <v>1</v>
      </c>
      <c r="C3" s="7" t="s">
        <v>2</v>
      </c>
    </row>
    <row r="4" spans="1:10" x14ac:dyDescent="0.25">
      <c r="A4" s="9">
        <v>45493</v>
      </c>
      <c r="B4" s="6">
        <v>98</v>
      </c>
      <c r="C4" s="6">
        <v>91</v>
      </c>
      <c r="E4" s="5"/>
      <c r="F4" s="5"/>
      <c r="G4" s="5"/>
      <c r="H4" s="5"/>
      <c r="I4" s="5"/>
      <c r="J4" s="5"/>
    </row>
    <row r="5" spans="1:10" x14ac:dyDescent="0.25">
      <c r="A5" s="9">
        <v>45494</v>
      </c>
      <c r="B5" s="6">
        <v>85</v>
      </c>
      <c r="C5" s="6">
        <v>80</v>
      </c>
    </row>
    <row r="6" spans="1:10" x14ac:dyDescent="0.25">
      <c r="A6" s="9">
        <v>45495</v>
      </c>
      <c r="B6" s="6">
        <v>89</v>
      </c>
      <c r="C6" s="6">
        <v>78</v>
      </c>
    </row>
    <row r="7" spans="1:10" x14ac:dyDescent="0.25">
      <c r="A7" s="9">
        <v>45496</v>
      </c>
      <c r="B7" s="6">
        <v>90</v>
      </c>
      <c r="C7" s="6">
        <v>79</v>
      </c>
    </row>
    <row r="8" spans="1:10" x14ac:dyDescent="0.25">
      <c r="A8" s="9">
        <v>45497</v>
      </c>
      <c r="B8" s="6">
        <v>85</v>
      </c>
      <c r="C8" s="6">
        <v>79</v>
      </c>
    </row>
    <row r="9" spans="1:10" x14ac:dyDescent="0.25">
      <c r="A9" s="9">
        <v>45498</v>
      </c>
      <c r="B9" s="6">
        <v>88</v>
      </c>
      <c r="C9" s="6">
        <v>80</v>
      </c>
    </row>
    <row r="10" spans="1:10" ht="15.75" thickBot="1" x14ac:dyDescent="0.3">
      <c r="A10" s="9">
        <v>45499</v>
      </c>
      <c r="B10" s="6">
        <v>89</v>
      </c>
      <c r="C10" s="6">
        <v>76</v>
      </c>
      <c r="F10" s="2" t="s">
        <v>18</v>
      </c>
    </row>
    <row r="11" spans="1:10" ht="15.75" thickBot="1" x14ac:dyDescent="0.3">
      <c r="A11" s="9">
        <v>45500</v>
      </c>
      <c r="B11" s="6">
        <v>96</v>
      </c>
      <c r="C11" s="6">
        <v>100</v>
      </c>
      <c r="E11" s="57" t="s">
        <v>10</v>
      </c>
      <c r="F11" s="58" t="s">
        <v>17</v>
      </c>
      <c r="G11" s="59" t="s">
        <v>11</v>
      </c>
      <c r="H11" s="5"/>
      <c r="I11" s="5"/>
      <c r="J11" s="5"/>
    </row>
    <row r="12" spans="1:10" x14ac:dyDescent="0.25">
      <c r="A12" s="9">
        <v>45501</v>
      </c>
      <c r="B12" s="6">
        <v>86</v>
      </c>
      <c r="C12" s="6">
        <v>77</v>
      </c>
      <c r="E12" s="60">
        <v>60</v>
      </c>
      <c r="F12" s="61" cm="1">
        <f t="array" ref="F12:F17">FREQUENCY(B4:B96, E12:E16)</f>
        <v>0</v>
      </c>
      <c r="G12" s="61" cm="1">
        <f t="array" ref="G12:G17">FREQUENCY(C4:C96, E12:E16)</f>
        <v>0</v>
      </c>
    </row>
    <row r="13" spans="1:10" x14ac:dyDescent="0.25">
      <c r="A13" s="9">
        <v>45502</v>
      </c>
      <c r="B13" s="6">
        <v>88</v>
      </c>
      <c r="C13" s="6">
        <v>75</v>
      </c>
      <c r="E13" s="62">
        <v>70</v>
      </c>
      <c r="F13" s="63">
        <v>0</v>
      </c>
      <c r="G13" s="63">
        <v>38</v>
      </c>
    </row>
    <row r="14" spans="1:10" x14ac:dyDescent="0.25">
      <c r="A14" s="9">
        <v>45503</v>
      </c>
      <c r="B14" s="6">
        <v>89</v>
      </c>
      <c r="C14" s="6">
        <v>76</v>
      </c>
      <c r="E14" s="62">
        <v>80</v>
      </c>
      <c r="F14" s="63">
        <v>38</v>
      </c>
      <c r="G14" s="63">
        <v>39</v>
      </c>
    </row>
    <row r="15" spans="1:10" x14ac:dyDescent="0.25">
      <c r="A15" s="9">
        <v>45504</v>
      </c>
      <c r="B15" s="6">
        <v>86</v>
      </c>
      <c r="C15" s="6">
        <v>71</v>
      </c>
      <c r="E15" s="62">
        <v>90</v>
      </c>
      <c r="F15" s="63">
        <v>44</v>
      </c>
      <c r="G15" s="63">
        <v>9</v>
      </c>
    </row>
    <row r="16" spans="1:10" x14ac:dyDescent="0.25">
      <c r="A16" s="9">
        <v>45505</v>
      </c>
      <c r="B16" s="6">
        <v>86</v>
      </c>
      <c r="C16" s="6">
        <v>72</v>
      </c>
      <c r="E16" s="62">
        <v>100</v>
      </c>
      <c r="F16" s="63">
        <v>11</v>
      </c>
      <c r="G16" s="63">
        <v>7</v>
      </c>
    </row>
    <row r="17" spans="1:10" x14ac:dyDescent="0.25">
      <c r="A17" s="9">
        <v>45506</v>
      </c>
      <c r="B17" s="6">
        <v>86</v>
      </c>
      <c r="C17" s="6">
        <v>83</v>
      </c>
      <c r="E17" s="62">
        <v>110</v>
      </c>
      <c r="F17" s="63">
        <v>0</v>
      </c>
      <c r="G17" s="63">
        <v>0</v>
      </c>
    </row>
    <row r="18" spans="1:10" x14ac:dyDescent="0.25">
      <c r="A18" s="9">
        <v>45507</v>
      </c>
      <c r="B18" s="6">
        <v>96</v>
      </c>
      <c r="C18" s="6">
        <v>92</v>
      </c>
    </row>
    <row r="19" spans="1:10" x14ac:dyDescent="0.25">
      <c r="A19" s="9">
        <v>45508</v>
      </c>
      <c r="B19" s="6">
        <v>84</v>
      </c>
      <c r="C19" s="6">
        <v>79</v>
      </c>
    </row>
    <row r="20" spans="1:10" x14ac:dyDescent="0.25">
      <c r="A20" s="9">
        <v>45509</v>
      </c>
      <c r="B20" s="6">
        <v>85</v>
      </c>
      <c r="C20" s="6">
        <v>68</v>
      </c>
    </row>
    <row r="21" spans="1:10" x14ac:dyDescent="0.25">
      <c r="A21" s="9">
        <v>45510</v>
      </c>
      <c r="B21" s="6">
        <v>83</v>
      </c>
      <c r="C21" s="6">
        <v>78</v>
      </c>
    </row>
    <row r="22" spans="1:10" x14ac:dyDescent="0.25">
      <c r="A22" s="9">
        <v>45511</v>
      </c>
      <c r="B22" s="6">
        <v>83</v>
      </c>
      <c r="C22" s="6">
        <v>78</v>
      </c>
    </row>
    <row r="23" spans="1:10" x14ac:dyDescent="0.25">
      <c r="A23" s="9">
        <v>45512</v>
      </c>
      <c r="B23" s="6">
        <v>80</v>
      </c>
      <c r="C23" s="6">
        <v>72</v>
      </c>
    </row>
    <row r="24" spans="1:10" ht="15.75" thickBot="1" x14ac:dyDescent="0.3">
      <c r="A24" s="9">
        <v>45513</v>
      </c>
      <c r="B24" s="6">
        <v>84</v>
      </c>
      <c r="C24" s="6">
        <v>79</v>
      </c>
      <c r="F24" s="2" t="s">
        <v>16</v>
      </c>
    </row>
    <row r="25" spans="1:10" ht="15.75" thickBot="1" x14ac:dyDescent="0.3">
      <c r="A25" s="9">
        <v>45514</v>
      </c>
      <c r="B25" s="6">
        <v>95</v>
      </c>
      <c r="C25" s="6">
        <v>92</v>
      </c>
      <c r="E25" s="57" t="s">
        <v>10</v>
      </c>
      <c r="F25" s="58" t="s">
        <v>17</v>
      </c>
      <c r="G25" s="59" t="s">
        <v>11</v>
      </c>
      <c r="H25" s="5"/>
      <c r="I25" s="5"/>
      <c r="J25" s="5"/>
    </row>
    <row r="26" spans="1:10" x14ac:dyDescent="0.25">
      <c r="A26" s="9">
        <v>45515</v>
      </c>
      <c r="B26" s="6">
        <v>88</v>
      </c>
      <c r="C26" s="6">
        <v>77</v>
      </c>
      <c r="E26" s="60" t="s">
        <v>12</v>
      </c>
      <c r="F26" s="60">
        <f>COUNTIFS(B4:B96, "&gt;=60", B4:B96, "&lt;70")</f>
        <v>0</v>
      </c>
      <c r="G26" s="60">
        <f>COUNTIFS(C4:C96, "&gt;=60", C4:C96, "&lt;70")</f>
        <v>36</v>
      </c>
    </row>
    <row r="27" spans="1:10" x14ac:dyDescent="0.25">
      <c r="A27" s="9">
        <v>45516</v>
      </c>
      <c r="B27" s="6">
        <v>86</v>
      </c>
      <c r="C27" s="6">
        <v>81</v>
      </c>
      <c r="E27" s="62" t="s">
        <v>13</v>
      </c>
      <c r="F27" s="62">
        <f>COUNTIFS(B4:B96, "&gt;=70", B4:B96, "&lt;80")</f>
        <v>35</v>
      </c>
      <c r="G27" s="62">
        <f>COUNTIFS(C4:C96, "&gt;=70", C4:C96, "&lt;80")</f>
        <v>35</v>
      </c>
    </row>
    <row r="28" spans="1:10" x14ac:dyDescent="0.25">
      <c r="A28" s="9">
        <v>45517</v>
      </c>
      <c r="B28" s="6">
        <v>82</v>
      </c>
      <c r="C28" s="6">
        <v>78</v>
      </c>
      <c r="E28" s="62" t="s">
        <v>14</v>
      </c>
      <c r="F28" s="62">
        <f>COUNTIFS(B4:B96, "&gt;=80", B4:B96, "&lt;90")</f>
        <v>46</v>
      </c>
      <c r="G28" s="62">
        <f>COUNTIFS(C4:C96, "&gt;=80", C4:C96, "&lt;90")</f>
        <v>15</v>
      </c>
    </row>
    <row r="29" spans="1:10" x14ac:dyDescent="0.25">
      <c r="A29" s="9">
        <v>45518</v>
      </c>
      <c r="B29" s="6">
        <v>89</v>
      </c>
      <c r="C29" s="6">
        <v>75</v>
      </c>
      <c r="E29" s="62" t="s">
        <v>15</v>
      </c>
      <c r="F29" s="62">
        <f>COUNTIFS(B4:B96, "&gt;=90", B4:B96, "&lt;=100")</f>
        <v>12</v>
      </c>
      <c r="G29" s="62">
        <f>COUNTIFS(C4:C96, "&gt;=90", C4:C96, "&lt;=100")</f>
        <v>7</v>
      </c>
    </row>
    <row r="30" spans="1:10" x14ac:dyDescent="0.25">
      <c r="A30" s="9">
        <v>45519</v>
      </c>
      <c r="B30" s="6">
        <v>86</v>
      </c>
      <c r="C30" s="6">
        <v>79</v>
      </c>
    </row>
    <row r="31" spans="1:10" x14ac:dyDescent="0.25">
      <c r="A31" s="9">
        <v>45520</v>
      </c>
      <c r="B31" s="6">
        <v>87</v>
      </c>
      <c r="C31" s="6">
        <v>79</v>
      </c>
    </row>
    <row r="32" spans="1:10" x14ac:dyDescent="0.25">
      <c r="A32" s="9">
        <v>45521</v>
      </c>
      <c r="B32" s="6">
        <v>97</v>
      </c>
      <c r="C32" s="6">
        <v>97</v>
      </c>
    </row>
    <row r="33" spans="1:3" x14ac:dyDescent="0.25">
      <c r="A33" s="9">
        <v>45522</v>
      </c>
      <c r="B33" s="6">
        <v>91</v>
      </c>
      <c r="C33" s="6">
        <v>80</v>
      </c>
    </row>
    <row r="34" spans="1:3" x14ac:dyDescent="0.25">
      <c r="A34" s="9">
        <v>45523</v>
      </c>
      <c r="B34" s="6">
        <v>88</v>
      </c>
      <c r="C34" s="6">
        <v>78</v>
      </c>
    </row>
    <row r="35" spans="1:3" x14ac:dyDescent="0.25">
      <c r="A35" s="9">
        <v>45524</v>
      </c>
      <c r="B35" s="6">
        <v>85</v>
      </c>
      <c r="C35" s="6">
        <v>78</v>
      </c>
    </row>
    <row r="36" spans="1:3" x14ac:dyDescent="0.25">
      <c r="A36" s="9">
        <v>45525</v>
      </c>
      <c r="B36" s="6">
        <v>86</v>
      </c>
      <c r="C36" s="6">
        <v>76</v>
      </c>
    </row>
    <row r="37" spans="1:3" x14ac:dyDescent="0.25">
      <c r="A37" s="9">
        <v>45526</v>
      </c>
      <c r="B37" s="6">
        <v>88</v>
      </c>
      <c r="C37" s="6">
        <v>80</v>
      </c>
    </row>
    <row r="38" spans="1:3" x14ac:dyDescent="0.25">
      <c r="A38" s="9">
        <v>45527</v>
      </c>
      <c r="B38" s="6">
        <v>82</v>
      </c>
      <c r="C38" s="6">
        <v>70</v>
      </c>
    </row>
    <row r="39" spans="1:3" x14ac:dyDescent="0.25">
      <c r="A39" s="9">
        <v>45528</v>
      </c>
      <c r="B39" s="6">
        <v>99</v>
      </c>
      <c r="C39" s="6">
        <v>98</v>
      </c>
    </row>
    <row r="40" spans="1:3" x14ac:dyDescent="0.25">
      <c r="A40" s="9">
        <v>45529</v>
      </c>
      <c r="B40" s="6">
        <v>92</v>
      </c>
      <c r="C40" s="6">
        <v>80</v>
      </c>
    </row>
    <row r="41" spans="1:3" x14ac:dyDescent="0.25">
      <c r="A41" s="9">
        <v>45530</v>
      </c>
      <c r="B41" s="6">
        <v>81</v>
      </c>
      <c r="C41" s="6">
        <v>75</v>
      </c>
    </row>
    <row r="42" spans="1:3" x14ac:dyDescent="0.25">
      <c r="A42" s="9">
        <v>45531</v>
      </c>
      <c r="B42" s="6">
        <v>83</v>
      </c>
      <c r="C42" s="6">
        <v>73</v>
      </c>
    </row>
    <row r="43" spans="1:3" x14ac:dyDescent="0.25">
      <c r="A43" s="9">
        <v>45532</v>
      </c>
      <c r="B43" s="6">
        <v>87</v>
      </c>
      <c r="C43" s="6">
        <v>76</v>
      </c>
    </row>
    <row r="44" spans="1:3" x14ac:dyDescent="0.25">
      <c r="A44" s="9">
        <v>45533</v>
      </c>
      <c r="B44" s="6">
        <v>81</v>
      </c>
      <c r="C44" s="6">
        <v>73</v>
      </c>
    </row>
    <row r="45" spans="1:3" x14ac:dyDescent="0.25">
      <c r="A45" s="9">
        <v>45534</v>
      </c>
      <c r="B45" s="6">
        <v>84</v>
      </c>
      <c r="C45" s="6">
        <v>75</v>
      </c>
    </row>
    <row r="46" spans="1:3" x14ac:dyDescent="0.25">
      <c r="A46" s="9">
        <v>45535</v>
      </c>
      <c r="B46" s="6">
        <v>89</v>
      </c>
      <c r="C46" s="6">
        <v>92</v>
      </c>
    </row>
    <row r="47" spans="1:3" x14ac:dyDescent="0.25">
      <c r="A47" s="9">
        <v>45536</v>
      </c>
      <c r="B47" s="6">
        <v>83</v>
      </c>
      <c r="C47" s="6">
        <v>73</v>
      </c>
    </row>
    <row r="48" spans="1:3" x14ac:dyDescent="0.25">
      <c r="A48" s="9">
        <v>45537</v>
      </c>
      <c r="B48" s="6">
        <v>89</v>
      </c>
      <c r="C48" s="6">
        <v>80</v>
      </c>
    </row>
    <row r="49" spans="1:3" x14ac:dyDescent="0.25">
      <c r="A49" s="9">
        <v>45538</v>
      </c>
      <c r="B49" s="6">
        <v>75</v>
      </c>
      <c r="C49" s="6">
        <v>71</v>
      </c>
    </row>
    <row r="50" spans="1:3" x14ac:dyDescent="0.25">
      <c r="A50" s="9">
        <v>45539</v>
      </c>
      <c r="B50" s="6">
        <v>77</v>
      </c>
      <c r="C50" s="6">
        <v>71</v>
      </c>
    </row>
    <row r="51" spans="1:3" x14ac:dyDescent="0.25">
      <c r="A51" s="9">
        <v>45540</v>
      </c>
      <c r="B51" s="6">
        <v>77</v>
      </c>
      <c r="C51" s="6">
        <v>64</v>
      </c>
    </row>
    <row r="52" spans="1:3" x14ac:dyDescent="0.25">
      <c r="A52" s="9">
        <v>45541</v>
      </c>
      <c r="B52" s="6">
        <v>79</v>
      </c>
      <c r="C52" s="6">
        <v>67</v>
      </c>
    </row>
    <row r="53" spans="1:3" x14ac:dyDescent="0.25">
      <c r="A53" s="9">
        <v>45542</v>
      </c>
      <c r="B53" s="6">
        <v>89</v>
      </c>
      <c r="C53" s="6">
        <v>83</v>
      </c>
    </row>
    <row r="54" spans="1:3" x14ac:dyDescent="0.25">
      <c r="A54" s="9">
        <v>45543</v>
      </c>
      <c r="B54" s="6">
        <v>74</v>
      </c>
      <c r="C54" s="6">
        <v>68</v>
      </c>
    </row>
    <row r="55" spans="1:3" x14ac:dyDescent="0.25">
      <c r="A55" s="9">
        <v>45544</v>
      </c>
      <c r="B55" s="6">
        <v>79</v>
      </c>
      <c r="C55" s="6">
        <v>68</v>
      </c>
    </row>
    <row r="56" spans="1:3" x14ac:dyDescent="0.25">
      <c r="A56" s="9">
        <v>45545</v>
      </c>
      <c r="B56" s="6">
        <v>75</v>
      </c>
      <c r="C56" s="6">
        <v>68</v>
      </c>
    </row>
    <row r="57" spans="1:3" x14ac:dyDescent="0.25">
      <c r="A57" s="9">
        <v>45546</v>
      </c>
      <c r="B57" s="6">
        <v>73</v>
      </c>
      <c r="C57" s="6">
        <v>64</v>
      </c>
    </row>
    <row r="58" spans="1:3" x14ac:dyDescent="0.25">
      <c r="A58" s="9">
        <v>45547</v>
      </c>
      <c r="B58" s="6">
        <v>78</v>
      </c>
      <c r="C58" s="6">
        <v>68</v>
      </c>
    </row>
    <row r="59" spans="1:3" x14ac:dyDescent="0.25">
      <c r="A59" s="9">
        <v>45548</v>
      </c>
      <c r="B59" s="6">
        <v>77</v>
      </c>
      <c r="C59" s="6">
        <v>67</v>
      </c>
    </row>
    <row r="60" spans="1:3" x14ac:dyDescent="0.25">
      <c r="A60" s="9">
        <v>45549</v>
      </c>
      <c r="B60" s="6">
        <v>94</v>
      </c>
      <c r="C60" s="6">
        <v>84</v>
      </c>
    </row>
    <row r="61" spans="1:3" x14ac:dyDescent="0.25">
      <c r="A61" s="9">
        <v>45550</v>
      </c>
      <c r="B61" s="6">
        <v>77</v>
      </c>
      <c r="C61" s="6">
        <v>67</v>
      </c>
    </row>
    <row r="62" spans="1:3" x14ac:dyDescent="0.25">
      <c r="A62" s="9">
        <v>45551</v>
      </c>
      <c r="B62" s="6">
        <v>82</v>
      </c>
      <c r="C62" s="6">
        <v>69</v>
      </c>
    </row>
    <row r="63" spans="1:3" x14ac:dyDescent="0.25">
      <c r="A63" s="9">
        <v>45552</v>
      </c>
      <c r="B63" s="6">
        <v>79</v>
      </c>
      <c r="C63" s="6">
        <v>66</v>
      </c>
    </row>
    <row r="64" spans="1:3" x14ac:dyDescent="0.25">
      <c r="A64" s="9">
        <v>45553</v>
      </c>
      <c r="B64" s="6">
        <v>75</v>
      </c>
      <c r="C64" s="6">
        <v>69</v>
      </c>
    </row>
    <row r="65" spans="1:3" x14ac:dyDescent="0.25">
      <c r="A65" s="9">
        <v>45554</v>
      </c>
      <c r="B65" s="6">
        <v>78</v>
      </c>
      <c r="C65" s="6">
        <v>67</v>
      </c>
    </row>
    <row r="66" spans="1:3" x14ac:dyDescent="0.25">
      <c r="A66" s="9">
        <v>45555</v>
      </c>
      <c r="B66" s="6">
        <v>80</v>
      </c>
      <c r="C66" s="6">
        <v>71</v>
      </c>
    </row>
    <row r="67" spans="1:3" x14ac:dyDescent="0.25">
      <c r="A67" s="9">
        <v>45556</v>
      </c>
      <c r="B67" s="6">
        <v>94</v>
      </c>
      <c r="C67" s="6">
        <v>88</v>
      </c>
    </row>
    <row r="68" spans="1:3" x14ac:dyDescent="0.25">
      <c r="A68" s="9">
        <v>45557</v>
      </c>
      <c r="B68" s="6">
        <v>78</v>
      </c>
      <c r="C68" s="6">
        <v>72</v>
      </c>
    </row>
    <row r="69" spans="1:3" x14ac:dyDescent="0.25">
      <c r="A69" s="9">
        <v>45558</v>
      </c>
      <c r="B69" s="6">
        <v>81</v>
      </c>
      <c r="C69" s="6">
        <v>67</v>
      </c>
    </row>
    <row r="70" spans="1:3" x14ac:dyDescent="0.25">
      <c r="A70" s="9">
        <v>45559</v>
      </c>
      <c r="B70" s="6">
        <v>78</v>
      </c>
      <c r="C70" s="6">
        <v>64</v>
      </c>
    </row>
    <row r="71" spans="1:3" x14ac:dyDescent="0.25">
      <c r="A71" s="9">
        <v>45560</v>
      </c>
      <c r="B71" s="6">
        <v>77</v>
      </c>
      <c r="C71" s="6">
        <v>65</v>
      </c>
    </row>
    <row r="72" spans="1:3" x14ac:dyDescent="0.25">
      <c r="A72" s="9">
        <v>45561</v>
      </c>
      <c r="B72" s="6">
        <v>72</v>
      </c>
      <c r="C72" s="6">
        <v>63</v>
      </c>
    </row>
    <row r="73" spans="1:3" x14ac:dyDescent="0.25">
      <c r="A73" s="9">
        <v>45562</v>
      </c>
      <c r="B73" s="6">
        <v>77</v>
      </c>
      <c r="C73" s="6">
        <v>65</v>
      </c>
    </row>
    <row r="74" spans="1:3" x14ac:dyDescent="0.25">
      <c r="A74" s="9">
        <v>45563</v>
      </c>
      <c r="B74" s="6">
        <v>89</v>
      </c>
      <c r="C74" s="6">
        <v>82</v>
      </c>
    </row>
    <row r="75" spans="1:3" x14ac:dyDescent="0.25">
      <c r="A75" s="9">
        <v>45564</v>
      </c>
      <c r="B75" s="6">
        <v>76</v>
      </c>
      <c r="C75" s="6">
        <v>68</v>
      </c>
    </row>
    <row r="76" spans="1:3" x14ac:dyDescent="0.25">
      <c r="A76" s="9">
        <v>45565</v>
      </c>
      <c r="B76" s="6">
        <v>73</v>
      </c>
      <c r="C76" s="6">
        <v>66</v>
      </c>
    </row>
    <row r="77" spans="1:3" x14ac:dyDescent="0.25">
      <c r="A77" s="9">
        <v>45566</v>
      </c>
      <c r="B77" s="6">
        <v>76</v>
      </c>
      <c r="C77" s="6">
        <v>65</v>
      </c>
    </row>
    <row r="78" spans="1:3" x14ac:dyDescent="0.25">
      <c r="A78" s="9">
        <v>45567</v>
      </c>
      <c r="B78" s="6">
        <v>73</v>
      </c>
      <c r="C78" s="6">
        <v>69</v>
      </c>
    </row>
    <row r="79" spans="1:3" x14ac:dyDescent="0.25">
      <c r="A79" s="9">
        <v>45568</v>
      </c>
      <c r="B79" s="6">
        <v>77</v>
      </c>
      <c r="C79" s="6">
        <v>65</v>
      </c>
    </row>
    <row r="80" spans="1:3" x14ac:dyDescent="0.25">
      <c r="A80" s="9">
        <v>45569</v>
      </c>
      <c r="B80" s="6">
        <v>79</v>
      </c>
      <c r="C80" s="6">
        <v>66</v>
      </c>
    </row>
    <row r="81" spans="1:3" x14ac:dyDescent="0.25">
      <c r="A81" s="9">
        <v>45570</v>
      </c>
      <c r="B81" s="6">
        <v>82</v>
      </c>
      <c r="C81" s="6">
        <v>85</v>
      </c>
    </row>
    <row r="82" spans="1:3" x14ac:dyDescent="0.25">
      <c r="A82" s="9">
        <v>45571</v>
      </c>
      <c r="B82" s="6">
        <v>74</v>
      </c>
      <c r="C82" s="6">
        <v>67</v>
      </c>
    </row>
    <row r="83" spans="1:3" x14ac:dyDescent="0.25">
      <c r="A83" s="9">
        <v>45572</v>
      </c>
      <c r="B83" s="6">
        <v>77</v>
      </c>
      <c r="C83" s="6">
        <v>65</v>
      </c>
    </row>
    <row r="84" spans="1:3" x14ac:dyDescent="0.25">
      <c r="A84" s="9">
        <v>45573</v>
      </c>
      <c r="B84" s="6">
        <v>72</v>
      </c>
      <c r="C84" s="6">
        <v>62</v>
      </c>
    </row>
    <row r="85" spans="1:3" x14ac:dyDescent="0.25">
      <c r="A85" s="9">
        <v>45574</v>
      </c>
      <c r="B85" s="6">
        <v>73</v>
      </c>
      <c r="C85" s="6">
        <v>65</v>
      </c>
    </row>
    <row r="86" spans="1:3" x14ac:dyDescent="0.25">
      <c r="A86" s="9">
        <v>45575</v>
      </c>
      <c r="B86" s="6">
        <v>73</v>
      </c>
      <c r="C86" s="6">
        <v>69</v>
      </c>
    </row>
    <row r="87" spans="1:3" x14ac:dyDescent="0.25">
      <c r="A87" s="9">
        <v>45576</v>
      </c>
      <c r="B87" s="6">
        <v>79</v>
      </c>
      <c r="C87" s="6">
        <v>69</v>
      </c>
    </row>
    <row r="88" spans="1:3" x14ac:dyDescent="0.25">
      <c r="A88" s="9">
        <v>45577</v>
      </c>
      <c r="B88" s="6">
        <v>100</v>
      </c>
      <c r="C88" s="6">
        <v>89</v>
      </c>
    </row>
    <row r="89" spans="1:3" x14ac:dyDescent="0.25">
      <c r="A89" s="9">
        <v>45578</v>
      </c>
      <c r="B89" s="6">
        <v>79</v>
      </c>
      <c r="C89" s="6">
        <v>70</v>
      </c>
    </row>
    <row r="90" spans="1:3" x14ac:dyDescent="0.25">
      <c r="A90" s="9">
        <v>45579</v>
      </c>
      <c r="B90" s="6">
        <v>83</v>
      </c>
      <c r="C90" s="6">
        <v>71</v>
      </c>
    </row>
    <row r="91" spans="1:3" x14ac:dyDescent="0.25">
      <c r="A91" s="9">
        <v>45580</v>
      </c>
      <c r="B91" s="6">
        <v>78</v>
      </c>
      <c r="C91" s="6">
        <v>67</v>
      </c>
    </row>
    <row r="92" spans="1:3" x14ac:dyDescent="0.25">
      <c r="A92" s="9">
        <v>45581</v>
      </c>
      <c r="B92" s="6">
        <v>78</v>
      </c>
      <c r="C92" s="6">
        <v>65</v>
      </c>
    </row>
    <row r="93" spans="1:3" x14ac:dyDescent="0.25">
      <c r="A93" s="9">
        <v>45582</v>
      </c>
      <c r="B93" s="6">
        <v>76</v>
      </c>
      <c r="C93" s="6">
        <v>66</v>
      </c>
    </row>
    <row r="94" spans="1:3" x14ac:dyDescent="0.25">
      <c r="A94" s="9">
        <v>45583</v>
      </c>
      <c r="B94" s="6">
        <v>82</v>
      </c>
      <c r="C94" s="6">
        <v>69</v>
      </c>
    </row>
    <row r="95" spans="1:3" x14ac:dyDescent="0.25">
      <c r="A95" s="9">
        <v>45584</v>
      </c>
      <c r="B95" s="6">
        <v>88</v>
      </c>
      <c r="C95" s="6">
        <v>87</v>
      </c>
    </row>
    <row r="96" spans="1:3" ht="15.75" thickBot="1" x14ac:dyDescent="0.3">
      <c r="A96" s="28">
        <v>45585</v>
      </c>
      <c r="B96" s="29">
        <v>80</v>
      </c>
      <c r="C96" s="29">
        <v>68</v>
      </c>
    </row>
    <row r="97" spans="1:3" ht="15.75" thickBot="1" x14ac:dyDescent="0.3">
      <c r="A97" s="8" t="s">
        <v>22</v>
      </c>
      <c r="B97" s="13">
        <f>SUM(B4:B96)</f>
        <v>7726</v>
      </c>
      <c r="C97" s="14">
        <f>SUM(C4:C96)</f>
        <v>6929</v>
      </c>
    </row>
  </sheetData>
  <pageMargins left="0.7" right="0.7" top="0.75" bottom="0.75" header="0.3" footer="0.3"/>
  <pageSetup scale="7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DA1559-9A5E-4C4F-945D-1C06A0C27949}">
  <dimension ref="A1:G108"/>
  <sheetViews>
    <sheetView topLeftCell="B1" zoomScaleNormal="100" workbookViewId="0">
      <selection activeCell="G7" sqref="G7"/>
    </sheetView>
  </sheetViews>
  <sheetFormatPr defaultRowHeight="15" x14ac:dyDescent="0.25"/>
  <cols>
    <col min="1" max="1" width="24.5703125" bestFit="1" customWidth="1"/>
    <col min="2" max="2" width="22" customWidth="1"/>
    <col min="3" max="3" width="21.5703125" bestFit="1" customWidth="1"/>
    <col min="4" max="4" width="23.28515625" bestFit="1" customWidth="1"/>
    <col min="5" max="5" width="24.5703125" customWidth="1"/>
    <col min="6" max="6" width="18.7109375" bestFit="1" customWidth="1"/>
    <col min="7" max="7" width="20.42578125" bestFit="1" customWidth="1"/>
    <col min="8" max="8" width="10.7109375" customWidth="1"/>
  </cols>
  <sheetData>
    <row r="1" spans="1:7" x14ac:dyDescent="0.25">
      <c r="A1" t="s">
        <v>0</v>
      </c>
    </row>
    <row r="2" spans="1:7" ht="15.75" thickBot="1" x14ac:dyDescent="0.3"/>
    <row r="3" spans="1:7" ht="15.75" thickBot="1" x14ac:dyDescent="0.3">
      <c r="A3" s="8" t="s">
        <v>3</v>
      </c>
      <c r="B3" s="15" t="s">
        <v>1</v>
      </c>
      <c r="C3" s="19" t="s">
        <v>2</v>
      </c>
      <c r="D3" s="17" t="s">
        <v>36</v>
      </c>
      <c r="E3" s="18" t="s">
        <v>37</v>
      </c>
    </row>
    <row r="4" spans="1:7" x14ac:dyDescent="0.25">
      <c r="A4" s="12">
        <v>45493</v>
      </c>
      <c r="B4" s="10">
        <v>98</v>
      </c>
      <c r="C4" s="20">
        <v>91</v>
      </c>
      <c r="D4" s="24" t="str">
        <f>VLOOKUP(B4,Scale,2)</f>
        <v>Above average interest</v>
      </c>
      <c r="E4" s="25" t="str">
        <f t="shared" ref="E4:E35" si="0">VLOOKUP(C4,Scale,2)</f>
        <v>Above average interest</v>
      </c>
      <c r="F4" s="64" t="s">
        <v>27</v>
      </c>
      <c r="G4" s="64"/>
    </row>
    <row r="5" spans="1:7" x14ac:dyDescent="0.25">
      <c r="A5" s="9">
        <v>45494</v>
      </c>
      <c r="B5" s="6">
        <v>85</v>
      </c>
      <c r="C5" s="21">
        <v>80</v>
      </c>
      <c r="D5" s="24" t="str">
        <f t="shared" ref="D5:D35" si="1">VLOOKUP(B5,Scale,2)</f>
        <v>Above average interest</v>
      </c>
      <c r="E5" s="25" t="str">
        <f t="shared" si="0"/>
        <v>Above average interest</v>
      </c>
      <c r="F5" s="22" t="s">
        <v>25</v>
      </c>
      <c r="G5" s="6" t="s">
        <v>1</v>
      </c>
    </row>
    <row r="6" spans="1:7" x14ac:dyDescent="0.25">
      <c r="A6" s="9">
        <v>45495</v>
      </c>
      <c r="B6" s="6">
        <v>89</v>
      </c>
      <c r="C6" s="21">
        <v>78</v>
      </c>
      <c r="D6" s="24" t="str">
        <f t="shared" si="1"/>
        <v>Above average interest</v>
      </c>
      <c r="E6" s="25" t="str">
        <f t="shared" si="0"/>
        <v>Average Interest</v>
      </c>
      <c r="F6" s="22" t="s">
        <v>3</v>
      </c>
      <c r="G6" s="9">
        <v>45493</v>
      </c>
    </row>
    <row r="7" spans="1:7" x14ac:dyDescent="0.25">
      <c r="A7" s="9">
        <v>45496</v>
      </c>
      <c r="B7" s="6">
        <v>90</v>
      </c>
      <c r="C7" s="21">
        <v>79</v>
      </c>
      <c r="D7" s="24" t="str">
        <f t="shared" si="1"/>
        <v>Above average interest</v>
      </c>
      <c r="E7" s="25" t="str">
        <f t="shared" si="0"/>
        <v>Average Interest</v>
      </c>
      <c r="F7" s="22" t="s">
        <v>26</v>
      </c>
      <c r="G7" s="6">
        <f>INDEX(B4:C96,MATCH(G6,A4:A96,0),MATCH(G5,B3:C3,0))</f>
        <v>98</v>
      </c>
    </row>
    <row r="8" spans="1:7" x14ac:dyDescent="0.25">
      <c r="A8" s="9">
        <v>45497</v>
      </c>
      <c r="B8" s="6">
        <v>85</v>
      </c>
      <c r="C8" s="21">
        <v>79</v>
      </c>
      <c r="D8" s="24" t="str">
        <f t="shared" si="1"/>
        <v>Above average interest</v>
      </c>
      <c r="E8" s="25" t="str">
        <f t="shared" si="0"/>
        <v>Average Interest</v>
      </c>
    </row>
    <row r="9" spans="1:7" x14ac:dyDescent="0.25">
      <c r="A9" s="9">
        <v>45498</v>
      </c>
      <c r="B9" s="6">
        <v>88</v>
      </c>
      <c r="C9" s="21">
        <v>80</v>
      </c>
      <c r="D9" s="24" t="str">
        <f t="shared" si="1"/>
        <v>Above average interest</v>
      </c>
      <c r="E9" s="25" t="str">
        <f t="shared" si="0"/>
        <v>Above average interest</v>
      </c>
    </row>
    <row r="10" spans="1:7" x14ac:dyDescent="0.25">
      <c r="A10" s="9">
        <v>45499</v>
      </c>
      <c r="B10" s="6">
        <v>89</v>
      </c>
      <c r="C10" s="21">
        <v>76</v>
      </c>
      <c r="D10" s="24" t="str">
        <f t="shared" si="1"/>
        <v>Above average interest</v>
      </c>
      <c r="E10" s="25" t="str">
        <f t="shared" si="0"/>
        <v>Average Interest</v>
      </c>
      <c r="F10" s="64" t="s">
        <v>28</v>
      </c>
      <c r="G10" s="64"/>
    </row>
    <row r="11" spans="1:7" x14ac:dyDescent="0.25">
      <c r="A11" s="9">
        <v>45500</v>
      </c>
      <c r="B11" s="6">
        <v>96</v>
      </c>
      <c r="C11" s="21">
        <v>100</v>
      </c>
      <c r="D11" s="24" t="str">
        <f t="shared" si="1"/>
        <v>Above average interest</v>
      </c>
      <c r="E11" s="25" t="str">
        <f t="shared" si="0"/>
        <v>High Interest</v>
      </c>
      <c r="F11" s="23" t="s">
        <v>29</v>
      </c>
      <c r="G11" s="3" t="s">
        <v>30</v>
      </c>
    </row>
    <row r="12" spans="1:7" x14ac:dyDescent="0.25">
      <c r="A12" s="9">
        <v>45501</v>
      </c>
      <c r="B12" s="6">
        <v>86</v>
      </c>
      <c r="C12" s="21">
        <v>77</v>
      </c>
      <c r="D12" s="24" t="str">
        <f t="shared" si="1"/>
        <v>Above average interest</v>
      </c>
      <c r="E12" s="25" t="str">
        <f t="shared" si="0"/>
        <v>Average Interest</v>
      </c>
      <c r="F12" s="4">
        <v>0</v>
      </c>
      <c r="G12" s="6" t="s">
        <v>31</v>
      </c>
    </row>
    <row r="13" spans="1:7" x14ac:dyDescent="0.25">
      <c r="A13" s="9">
        <v>45502</v>
      </c>
      <c r="B13" s="6">
        <v>88</v>
      </c>
      <c r="C13" s="21">
        <v>75</v>
      </c>
      <c r="D13" s="24" t="str">
        <f t="shared" si="1"/>
        <v>Above average interest</v>
      </c>
      <c r="E13" s="25" t="str">
        <f t="shared" si="0"/>
        <v>Average Interest</v>
      </c>
      <c r="F13" s="4">
        <v>40</v>
      </c>
      <c r="G13" s="6" t="s">
        <v>32</v>
      </c>
    </row>
    <row r="14" spans="1:7" x14ac:dyDescent="0.25">
      <c r="A14" s="9">
        <v>45503</v>
      </c>
      <c r="B14" s="6">
        <v>89</v>
      </c>
      <c r="C14" s="21">
        <v>76</v>
      </c>
      <c r="D14" s="24" t="str">
        <f t="shared" si="1"/>
        <v>Above average interest</v>
      </c>
      <c r="E14" s="25" t="str">
        <f t="shared" si="0"/>
        <v>Average Interest</v>
      </c>
      <c r="F14" s="4">
        <v>60</v>
      </c>
      <c r="G14" s="6" t="s">
        <v>33</v>
      </c>
    </row>
    <row r="15" spans="1:7" x14ac:dyDescent="0.25">
      <c r="A15" s="9">
        <v>45504</v>
      </c>
      <c r="B15" s="6">
        <v>86</v>
      </c>
      <c r="C15" s="21">
        <v>71</v>
      </c>
      <c r="D15" s="24" t="str">
        <f t="shared" si="1"/>
        <v>Above average interest</v>
      </c>
      <c r="E15" s="25" t="str">
        <f t="shared" si="0"/>
        <v>Average Interest</v>
      </c>
      <c r="F15" s="4">
        <v>80</v>
      </c>
      <c r="G15" s="6" t="s">
        <v>34</v>
      </c>
    </row>
    <row r="16" spans="1:7" x14ac:dyDescent="0.25">
      <c r="A16" s="9">
        <v>45505</v>
      </c>
      <c r="B16" s="6">
        <v>86</v>
      </c>
      <c r="C16" s="21">
        <v>72</v>
      </c>
      <c r="D16" s="24" t="str">
        <f t="shared" si="1"/>
        <v>Above average interest</v>
      </c>
      <c r="E16" s="25" t="str">
        <f t="shared" si="0"/>
        <v>Average Interest</v>
      </c>
      <c r="F16" s="4">
        <v>100</v>
      </c>
      <c r="G16" s="6" t="s">
        <v>35</v>
      </c>
    </row>
    <row r="17" spans="1:5" x14ac:dyDescent="0.25">
      <c r="A17" s="9">
        <v>45506</v>
      </c>
      <c r="B17" s="6">
        <v>86</v>
      </c>
      <c r="C17" s="21">
        <v>83</v>
      </c>
      <c r="D17" s="24" t="str">
        <f t="shared" si="1"/>
        <v>Above average interest</v>
      </c>
      <c r="E17" s="25" t="str">
        <f t="shared" si="0"/>
        <v>Above average interest</v>
      </c>
    </row>
    <row r="18" spans="1:5" x14ac:dyDescent="0.25">
      <c r="A18" s="9">
        <v>45507</v>
      </c>
      <c r="B18" s="6">
        <v>96</v>
      </c>
      <c r="C18" s="21">
        <v>92</v>
      </c>
      <c r="D18" s="24" t="str">
        <f t="shared" si="1"/>
        <v>Above average interest</v>
      </c>
      <c r="E18" s="25" t="str">
        <f t="shared" si="0"/>
        <v>Above average interest</v>
      </c>
    </row>
    <row r="19" spans="1:5" x14ac:dyDescent="0.25">
      <c r="A19" s="9">
        <v>45508</v>
      </c>
      <c r="B19" s="6">
        <v>84</v>
      </c>
      <c r="C19" s="21">
        <v>79</v>
      </c>
      <c r="D19" s="24" t="str">
        <f t="shared" si="1"/>
        <v>Above average interest</v>
      </c>
      <c r="E19" s="25" t="str">
        <f t="shared" si="0"/>
        <v>Average Interest</v>
      </c>
    </row>
    <row r="20" spans="1:5" x14ac:dyDescent="0.25">
      <c r="A20" s="9">
        <v>45509</v>
      </c>
      <c r="B20" s="6">
        <v>85</v>
      </c>
      <c r="C20" s="21">
        <v>68</v>
      </c>
      <c r="D20" s="24" t="str">
        <f t="shared" si="1"/>
        <v>Above average interest</v>
      </c>
      <c r="E20" s="25" t="str">
        <f t="shared" si="0"/>
        <v>Average Interest</v>
      </c>
    </row>
    <row r="21" spans="1:5" x14ac:dyDescent="0.25">
      <c r="A21" s="9">
        <v>45510</v>
      </c>
      <c r="B21" s="6">
        <v>83</v>
      </c>
      <c r="C21" s="21">
        <v>78</v>
      </c>
      <c r="D21" s="24" t="str">
        <f t="shared" si="1"/>
        <v>Above average interest</v>
      </c>
      <c r="E21" s="25" t="str">
        <f t="shared" si="0"/>
        <v>Average Interest</v>
      </c>
    </row>
    <row r="22" spans="1:5" x14ac:dyDescent="0.25">
      <c r="A22" s="9">
        <v>45511</v>
      </c>
      <c r="B22" s="6">
        <v>83</v>
      </c>
      <c r="C22" s="21">
        <v>78</v>
      </c>
      <c r="D22" s="24" t="str">
        <f t="shared" si="1"/>
        <v>Above average interest</v>
      </c>
      <c r="E22" s="25" t="str">
        <f t="shared" si="0"/>
        <v>Average Interest</v>
      </c>
    </row>
    <row r="23" spans="1:5" x14ac:dyDescent="0.25">
      <c r="A23" s="9">
        <v>45512</v>
      </c>
      <c r="B23" s="6">
        <v>80</v>
      </c>
      <c r="C23" s="21">
        <v>72</v>
      </c>
      <c r="D23" s="24" t="str">
        <f t="shared" si="1"/>
        <v>Above average interest</v>
      </c>
      <c r="E23" s="25" t="str">
        <f t="shared" si="0"/>
        <v>Average Interest</v>
      </c>
    </row>
    <row r="24" spans="1:5" x14ac:dyDescent="0.25">
      <c r="A24" s="9">
        <v>45513</v>
      </c>
      <c r="B24" s="6">
        <v>84</v>
      </c>
      <c r="C24" s="21">
        <v>79</v>
      </c>
      <c r="D24" s="24" t="str">
        <f t="shared" si="1"/>
        <v>Above average interest</v>
      </c>
      <c r="E24" s="25" t="str">
        <f t="shared" si="0"/>
        <v>Average Interest</v>
      </c>
    </row>
    <row r="25" spans="1:5" x14ac:dyDescent="0.25">
      <c r="A25" s="9">
        <v>45514</v>
      </c>
      <c r="B25" s="6">
        <v>95</v>
      </c>
      <c r="C25" s="21">
        <v>92</v>
      </c>
      <c r="D25" s="24" t="str">
        <f t="shared" si="1"/>
        <v>Above average interest</v>
      </c>
      <c r="E25" s="25" t="str">
        <f t="shared" si="0"/>
        <v>Above average interest</v>
      </c>
    </row>
    <row r="26" spans="1:5" x14ac:dyDescent="0.25">
      <c r="A26" s="9">
        <v>45515</v>
      </c>
      <c r="B26" s="6">
        <v>88</v>
      </c>
      <c r="C26" s="21">
        <v>77</v>
      </c>
      <c r="D26" s="24" t="str">
        <f t="shared" si="1"/>
        <v>Above average interest</v>
      </c>
      <c r="E26" s="25" t="str">
        <f t="shared" si="0"/>
        <v>Average Interest</v>
      </c>
    </row>
    <row r="27" spans="1:5" x14ac:dyDescent="0.25">
      <c r="A27" s="9">
        <v>45516</v>
      </c>
      <c r="B27" s="6">
        <v>86</v>
      </c>
      <c r="C27" s="21">
        <v>81</v>
      </c>
      <c r="D27" s="24" t="str">
        <f t="shared" si="1"/>
        <v>Above average interest</v>
      </c>
      <c r="E27" s="25" t="str">
        <f t="shared" si="0"/>
        <v>Above average interest</v>
      </c>
    </row>
    <row r="28" spans="1:5" x14ac:dyDescent="0.25">
      <c r="A28" s="9">
        <v>45517</v>
      </c>
      <c r="B28" s="6">
        <v>82</v>
      </c>
      <c r="C28" s="21">
        <v>78</v>
      </c>
      <c r="D28" s="24" t="str">
        <f t="shared" si="1"/>
        <v>Above average interest</v>
      </c>
      <c r="E28" s="25" t="str">
        <f t="shared" si="0"/>
        <v>Average Interest</v>
      </c>
    </row>
    <row r="29" spans="1:5" x14ac:dyDescent="0.25">
      <c r="A29" s="9">
        <v>45518</v>
      </c>
      <c r="B29" s="6">
        <v>89</v>
      </c>
      <c r="C29" s="21">
        <v>75</v>
      </c>
      <c r="D29" s="24" t="str">
        <f t="shared" si="1"/>
        <v>Above average interest</v>
      </c>
      <c r="E29" s="25" t="str">
        <f t="shared" si="0"/>
        <v>Average Interest</v>
      </c>
    </row>
    <row r="30" spans="1:5" x14ac:dyDescent="0.25">
      <c r="A30" s="9">
        <v>45519</v>
      </c>
      <c r="B30" s="6">
        <v>86</v>
      </c>
      <c r="C30" s="21">
        <v>79</v>
      </c>
      <c r="D30" s="24" t="str">
        <f t="shared" si="1"/>
        <v>Above average interest</v>
      </c>
      <c r="E30" s="25" t="str">
        <f t="shared" si="0"/>
        <v>Average Interest</v>
      </c>
    </row>
    <row r="31" spans="1:5" x14ac:dyDescent="0.25">
      <c r="A31" s="9">
        <v>45520</v>
      </c>
      <c r="B31" s="6">
        <v>87</v>
      </c>
      <c r="C31" s="21">
        <v>79</v>
      </c>
      <c r="D31" s="24" t="str">
        <f t="shared" si="1"/>
        <v>Above average interest</v>
      </c>
      <c r="E31" s="25" t="str">
        <f t="shared" si="0"/>
        <v>Average Interest</v>
      </c>
    </row>
    <row r="32" spans="1:5" x14ac:dyDescent="0.25">
      <c r="A32" s="9">
        <v>45521</v>
      </c>
      <c r="B32" s="6">
        <v>97</v>
      </c>
      <c r="C32" s="21">
        <v>97</v>
      </c>
      <c r="D32" s="24" t="str">
        <f t="shared" si="1"/>
        <v>Above average interest</v>
      </c>
      <c r="E32" s="25" t="str">
        <f t="shared" si="0"/>
        <v>Above average interest</v>
      </c>
    </row>
    <row r="33" spans="1:5" x14ac:dyDescent="0.25">
      <c r="A33" s="9">
        <v>45522</v>
      </c>
      <c r="B33" s="6">
        <v>91</v>
      </c>
      <c r="C33" s="21">
        <v>80</v>
      </c>
      <c r="D33" s="24" t="str">
        <f t="shared" si="1"/>
        <v>Above average interest</v>
      </c>
      <c r="E33" s="25" t="str">
        <f t="shared" si="0"/>
        <v>Above average interest</v>
      </c>
    </row>
    <row r="34" spans="1:5" x14ac:dyDescent="0.25">
      <c r="A34" s="9">
        <v>45523</v>
      </c>
      <c r="B34" s="6">
        <v>88</v>
      </c>
      <c r="C34" s="21">
        <v>78</v>
      </c>
      <c r="D34" s="24" t="str">
        <f t="shared" si="1"/>
        <v>Above average interest</v>
      </c>
      <c r="E34" s="25" t="str">
        <f t="shared" si="0"/>
        <v>Average Interest</v>
      </c>
    </row>
    <row r="35" spans="1:5" x14ac:dyDescent="0.25">
      <c r="A35" s="9">
        <v>45524</v>
      </c>
      <c r="B35" s="6">
        <v>85</v>
      </c>
      <c r="C35" s="21">
        <v>78</v>
      </c>
      <c r="D35" s="24" t="str">
        <f t="shared" si="1"/>
        <v>Above average interest</v>
      </c>
      <c r="E35" s="25" t="str">
        <f t="shared" si="0"/>
        <v>Average Interest</v>
      </c>
    </row>
    <row r="36" spans="1:5" x14ac:dyDescent="0.25">
      <c r="A36" s="9">
        <v>45525</v>
      </c>
      <c r="B36" s="6">
        <v>86</v>
      </c>
      <c r="C36" s="21">
        <v>76</v>
      </c>
      <c r="D36" s="24" t="str">
        <f t="shared" ref="D36:D67" si="2">VLOOKUP(B36,Scale,2)</f>
        <v>Above average interest</v>
      </c>
      <c r="E36" s="25" t="str">
        <f t="shared" ref="E36:E67" si="3">VLOOKUP(C36,Scale,2)</f>
        <v>Average Interest</v>
      </c>
    </row>
    <row r="37" spans="1:5" x14ac:dyDescent="0.25">
      <c r="A37" s="9">
        <v>45526</v>
      </c>
      <c r="B37" s="6">
        <v>88</v>
      </c>
      <c r="C37" s="21">
        <v>80</v>
      </c>
      <c r="D37" s="24" t="str">
        <f t="shared" si="2"/>
        <v>Above average interest</v>
      </c>
      <c r="E37" s="25" t="str">
        <f t="shared" si="3"/>
        <v>Above average interest</v>
      </c>
    </row>
    <row r="38" spans="1:5" x14ac:dyDescent="0.25">
      <c r="A38" s="9">
        <v>45527</v>
      </c>
      <c r="B38" s="6">
        <v>82</v>
      </c>
      <c r="C38" s="21">
        <v>70</v>
      </c>
      <c r="D38" s="24" t="str">
        <f t="shared" si="2"/>
        <v>Above average interest</v>
      </c>
      <c r="E38" s="25" t="str">
        <f t="shared" si="3"/>
        <v>Average Interest</v>
      </c>
    </row>
    <row r="39" spans="1:5" x14ac:dyDescent="0.25">
      <c r="A39" s="9">
        <v>45528</v>
      </c>
      <c r="B39" s="6">
        <v>99</v>
      </c>
      <c r="C39" s="21">
        <v>98</v>
      </c>
      <c r="D39" s="24" t="str">
        <f t="shared" si="2"/>
        <v>Above average interest</v>
      </c>
      <c r="E39" s="25" t="str">
        <f t="shared" si="3"/>
        <v>Above average interest</v>
      </c>
    </row>
    <row r="40" spans="1:5" x14ac:dyDescent="0.25">
      <c r="A40" s="9">
        <v>45529</v>
      </c>
      <c r="B40" s="6">
        <v>92</v>
      </c>
      <c r="C40" s="21">
        <v>80</v>
      </c>
      <c r="D40" s="24" t="str">
        <f t="shared" si="2"/>
        <v>Above average interest</v>
      </c>
      <c r="E40" s="25" t="str">
        <f t="shared" si="3"/>
        <v>Above average interest</v>
      </c>
    </row>
    <row r="41" spans="1:5" x14ac:dyDescent="0.25">
      <c r="A41" s="9">
        <v>45530</v>
      </c>
      <c r="B41" s="6">
        <v>81</v>
      </c>
      <c r="C41" s="21">
        <v>75</v>
      </c>
      <c r="D41" s="24" t="str">
        <f t="shared" si="2"/>
        <v>Above average interest</v>
      </c>
      <c r="E41" s="25" t="str">
        <f t="shared" si="3"/>
        <v>Average Interest</v>
      </c>
    </row>
    <row r="42" spans="1:5" x14ac:dyDescent="0.25">
      <c r="A42" s="9">
        <v>45531</v>
      </c>
      <c r="B42" s="6">
        <v>83</v>
      </c>
      <c r="C42" s="21">
        <v>73</v>
      </c>
      <c r="D42" s="24" t="str">
        <f t="shared" si="2"/>
        <v>Above average interest</v>
      </c>
      <c r="E42" s="25" t="str">
        <f t="shared" si="3"/>
        <v>Average Interest</v>
      </c>
    </row>
    <row r="43" spans="1:5" x14ac:dyDescent="0.25">
      <c r="A43" s="9">
        <v>45532</v>
      </c>
      <c r="B43" s="6">
        <v>87</v>
      </c>
      <c r="C43" s="21">
        <v>76</v>
      </c>
      <c r="D43" s="24" t="str">
        <f t="shared" si="2"/>
        <v>Above average interest</v>
      </c>
      <c r="E43" s="25" t="str">
        <f t="shared" si="3"/>
        <v>Average Interest</v>
      </c>
    </row>
    <row r="44" spans="1:5" x14ac:dyDescent="0.25">
      <c r="A44" s="9">
        <v>45533</v>
      </c>
      <c r="B44" s="6">
        <v>81</v>
      </c>
      <c r="C44" s="21">
        <v>73</v>
      </c>
      <c r="D44" s="24" t="str">
        <f t="shared" si="2"/>
        <v>Above average interest</v>
      </c>
      <c r="E44" s="25" t="str">
        <f t="shared" si="3"/>
        <v>Average Interest</v>
      </c>
    </row>
    <row r="45" spans="1:5" x14ac:dyDescent="0.25">
      <c r="A45" s="9">
        <v>45534</v>
      </c>
      <c r="B45" s="6">
        <v>84</v>
      </c>
      <c r="C45" s="21">
        <v>75</v>
      </c>
      <c r="D45" s="24" t="str">
        <f t="shared" si="2"/>
        <v>Above average interest</v>
      </c>
      <c r="E45" s="25" t="str">
        <f t="shared" si="3"/>
        <v>Average Interest</v>
      </c>
    </row>
    <row r="46" spans="1:5" x14ac:dyDescent="0.25">
      <c r="A46" s="9">
        <v>45535</v>
      </c>
      <c r="B46" s="6">
        <v>89</v>
      </c>
      <c r="C46" s="21">
        <v>92</v>
      </c>
      <c r="D46" s="24" t="str">
        <f t="shared" si="2"/>
        <v>Above average interest</v>
      </c>
      <c r="E46" s="25" t="str">
        <f t="shared" si="3"/>
        <v>Above average interest</v>
      </c>
    </row>
    <row r="47" spans="1:5" x14ac:dyDescent="0.25">
      <c r="A47" s="9">
        <v>45536</v>
      </c>
      <c r="B47" s="6">
        <v>83</v>
      </c>
      <c r="C47" s="21">
        <v>73</v>
      </c>
      <c r="D47" s="24" t="str">
        <f t="shared" si="2"/>
        <v>Above average interest</v>
      </c>
      <c r="E47" s="25" t="str">
        <f t="shared" si="3"/>
        <v>Average Interest</v>
      </c>
    </row>
    <row r="48" spans="1:5" x14ac:dyDescent="0.25">
      <c r="A48" s="9">
        <v>45537</v>
      </c>
      <c r="B48" s="6">
        <v>89</v>
      </c>
      <c r="C48" s="21">
        <v>80</v>
      </c>
      <c r="D48" s="24" t="str">
        <f t="shared" si="2"/>
        <v>Above average interest</v>
      </c>
      <c r="E48" s="25" t="str">
        <f t="shared" si="3"/>
        <v>Above average interest</v>
      </c>
    </row>
    <row r="49" spans="1:5" x14ac:dyDescent="0.25">
      <c r="A49" s="9">
        <v>45538</v>
      </c>
      <c r="B49" s="6">
        <v>75</v>
      </c>
      <c r="C49" s="21">
        <v>71</v>
      </c>
      <c r="D49" s="24" t="str">
        <f t="shared" si="2"/>
        <v>Average Interest</v>
      </c>
      <c r="E49" s="25" t="str">
        <f t="shared" si="3"/>
        <v>Average Interest</v>
      </c>
    </row>
    <row r="50" spans="1:5" x14ac:dyDescent="0.25">
      <c r="A50" s="9">
        <v>45539</v>
      </c>
      <c r="B50" s="6">
        <v>77</v>
      </c>
      <c r="C50" s="21">
        <v>71</v>
      </c>
      <c r="D50" s="24" t="str">
        <f t="shared" si="2"/>
        <v>Average Interest</v>
      </c>
      <c r="E50" s="25" t="str">
        <f t="shared" si="3"/>
        <v>Average Interest</v>
      </c>
    </row>
    <row r="51" spans="1:5" x14ac:dyDescent="0.25">
      <c r="A51" s="9">
        <v>45540</v>
      </c>
      <c r="B51" s="6">
        <v>77</v>
      </c>
      <c r="C51" s="21">
        <v>64</v>
      </c>
      <c r="D51" s="24" t="str">
        <f t="shared" si="2"/>
        <v>Average Interest</v>
      </c>
      <c r="E51" s="25" t="str">
        <f t="shared" si="3"/>
        <v>Average Interest</v>
      </c>
    </row>
    <row r="52" spans="1:5" x14ac:dyDescent="0.25">
      <c r="A52" s="9">
        <v>45541</v>
      </c>
      <c r="B52" s="6">
        <v>79</v>
      </c>
      <c r="C52" s="21">
        <v>67</v>
      </c>
      <c r="D52" s="24" t="str">
        <f t="shared" si="2"/>
        <v>Average Interest</v>
      </c>
      <c r="E52" s="25" t="str">
        <f t="shared" si="3"/>
        <v>Average Interest</v>
      </c>
    </row>
    <row r="53" spans="1:5" x14ac:dyDescent="0.25">
      <c r="A53" s="9">
        <v>45542</v>
      </c>
      <c r="B53" s="6">
        <v>89</v>
      </c>
      <c r="C53" s="21">
        <v>83</v>
      </c>
      <c r="D53" s="24" t="str">
        <f t="shared" si="2"/>
        <v>Above average interest</v>
      </c>
      <c r="E53" s="25" t="str">
        <f t="shared" si="3"/>
        <v>Above average interest</v>
      </c>
    </row>
    <row r="54" spans="1:5" x14ac:dyDescent="0.25">
      <c r="A54" s="9">
        <v>45543</v>
      </c>
      <c r="B54" s="6">
        <v>74</v>
      </c>
      <c r="C54" s="21">
        <v>68</v>
      </c>
      <c r="D54" s="24" t="str">
        <f t="shared" si="2"/>
        <v>Average Interest</v>
      </c>
      <c r="E54" s="25" t="str">
        <f t="shared" si="3"/>
        <v>Average Interest</v>
      </c>
    </row>
    <row r="55" spans="1:5" x14ac:dyDescent="0.25">
      <c r="A55" s="9">
        <v>45544</v>
      </c>
      <c r="B55" s="6">
        <v>79</v>
      </c>
      <c r="C55" s="21">
        <v>68</v>
      </c>
      <c r="D55" s="24" t="str">
        <f t="shared" si="2"/>
        <v>Average Interest</v>
      </c>
      <c r="E55" s="25" t="str">
        <f t="shared" si="3"/>
        <v>Average Interest</v>
      </c>
    </row>
    <row r="56" spans="1:5" x14ac:dyDescent="0.25">
      <c r="A56" s="9">
        <v>45545</v>
      </c>
      <c r="B56" s="6">
        <v>75</v>
      </c>
      <c r="C56" s="21">
        <v>68</v>
      </c>
      <c r="D56" s="24" t="str">
        <f t="shared" si="2"/>
        <v>Average Interest</v>
      </c>
      <c r="E56" s="25" t="str">
        <f t="shared" si="3"/>
        <v>Average Interest</v>
      </c>
    </row>
    <row r="57" spans="1:5" x14ac:dyDescent="0.25">
      <c r="A57" s="9">
        <v>45546</v>
      </c>
      <c r="B57" s="6">
        <v>73</v>
      </c>
      <c r="C57" s="21">
        <v>64</v>
      </c>
      <c r="D57" s="24" t="str">
        <f t="shared" si="2"/>
        <v>Average Interest</v>
      </c>
      <c r="E57" s="25" t="str">
        <f t="shared" si="3"/>
        <v>Average Interest</v>
      </c>
    </row>
    <row r="58" spans="1:5" x14ac:dyDescent="0.25">
      <c r="A58" s="9">
        <v>45547</v>
      </c>
      <c r="B58" s="6">
        <v>78</v>
      </c>
      <c r="C58" s="21">
        <v>68</v>
      </c>
      <c r="D58" s="24" t="str">
        <f t="shared" si="2"/>
        <v>Average Interest</v>
      </c>
      <c r="E58" s="25" t="str">
        <f t="shared" si="3"/>
        <v>Average Interest</v>
      </c>
    </row>
    <row r="59" spans="1:5" x14ac:dyDescent="0.25">
      <c r="A59" s="9">
        <v>45548</v>
      </c>
      <c r="B59" s="6">
        <v>77</v>
      </c>
      <c r="C59" s="21">
        <v>67</v>
      </c>
      <c r="D59" s="24" t="str">
        <f t="shared" si="2"/>
        <v>Average Interest</v>
      </c>
      <c r="E59" s="25" t="str">
        <f t="shared" si="3"/>
        <v>Average Interest</v>
      </c>
    </row>
    <row r="60" spans="1:5" x14ac:dyDescent="0.25">
      <c r="A60" s="9">
        <v>45549</v>
      </c>
      <c r="B60" s="6">
        <v>94</v>
      </c>
      <c r="C60" s="21">
        <v>84</v>
      </c>
      <c r="D60" s="24" t="str">
        <f t="shared" si="2"/>
        <v>Above average interest</v>
      </c>
      <c r="E60" s="25" t="str">
        <f t="shared" si="3"/>
        <v>Above average interest</v>
      </c>
    </row>
    <row r="61" spans="1:5" x14ac:dyDescent="0.25">
      <c r="A61" s="9">
        <v>45550</v>
      </c>
      <c r="B61" s="6">
        <v>77</v>
      </c>
      <c r="C61" s="21">
        <v>67</v>
      </c>
      <c r="D61" s="24" t="str">
        <f t="shared" si="2"/>
        <v>Average Interest</v>
      </c>
      <c r="E61" s="25" t="str">
        <f t="shared" si="3"/>
        <v>Average Interest</v>
      </c>
    </row>
    <row r="62" spans="1:5" x14ac:dyDescent="0.25">
      <c r="A62" s="9">
        <v>45551</v>
      </c>
      <c r="B62" s="6">
        <v>82</v>
      </c>
      <c r="C62" s="21">
        <v>69</v>
      </c>
      <c r="D62" s="24" t="str">
        <f t="shared" si="2"/>
        <v>Above average interest</v>
      </c>
      <c r="E62" s="25" t="str">
        <f t="shared" si="3"/>
        <v>Average Interest</v>
      </c>
    </row>
    <row r="63" spans="1:5" x14ac:dyDescent="0.25">
      <c r="A63" s="9">
        <v>45552</v>
      </c>
      <c r="B63" s="6">
        <v>79</v>
      </c>
      <c r="C63" s="21">
        <v>66</v>
      </c>
      <c r="D63" s="24" t="str">
        <f t="shared" si="2"/>
        <v>Average Interest</v>
      </c>
      <c r="E63" s="25" t="str">
        <f t="shared" si="3"/>
        <v>Average Interest</v>
      </c>
    </row>
    <row r="64" spans="1:5" x14ac:dyDescent="0.25">
      <c r="A64" s="9">
        <v>45553</v>
      </c>
      <c r="B64" s="6">
        <v>75</v>
      </c>
      <c r="C64" s="21">
        <v>69</v>
      </c>
      <c r="D64" s="24" t="str">
        <f t="shared" si="2"/>
        <v>Average Interest</v>
      </c>
      <c r="E64" s="25" t="str">
        <f t="shared" si="3"/>
        <v>Average Interest</v>
      </c>
    </row>
    <row r="65" spans="1:5" x14ac:dyDescent="0.25">
      <c r="A65" s="9">
        <v>45554</v>
      </c>
      <c r="B65" s="6">
        <v>78</v>
      </c>
      <c r="C65" s="21">
        <v>67</v>
      </c>
      <c r="D65" s="24" t="str">
        <f t="shared" si="2"/>
        <v>Average Interest</v>
      </c>
      <c r="E65" s="25" t="str">
        <f t="shared" si="3"/>
        <v>Average Interest</v>
      </c>
    </row>
    <row r="66" spans="1:5" x14ac:dyDescent="0.25">
      <c r="A66" s="9">
        <v>45555</v>
      </c>
      <c r="B66" s="6">
        <v>80</v>
      </c>
      <c r="C66" s="21">
        <v>71</v>
      </c>
      <c r="D66" s="24" t="str">
        <f t="shared" si="2"/>
        <v>Above average interest</v>
      </c>
      <c r="E66" s="25" t="str">
        <f t="shared" si="3"/>
        <v>Average Interest</v>
      </c>
    </row>
    <row r="67" spans="1:5" x14ac:dyDescent="0.25">
      <c r="A67" s="9">
        <v>45556</v>
      </c>
      <c r="B67" s="6">
        <v>94</v>
      </c>
      <c r="C67" s="21">
        <v>88</v>
      </c>
      <c r="D67" s="24" t="str">
        <f t="shared" si="2"/>
        <v>Above average interest</v>
      </c>
      <c r="E67" s="25" t="str">
        <f t="shared" si="3"/>
        <v>Above average interest</v>
      </c>
    </row>
    <row r="68" spans="1:5" x14ac:dyDescent="0.25">
      <c r="A68" s="9">
        <v>45557</v>
      </c>
      <c r="B68" s="6">
        <v>78</v>
      </c>
      <c r="C68" s="21">
        <v>72</v>
      </c>
      <c r="D68" s="24" t="str">
        <f t="shared" ref="D68:D96" si="4">VLOOKUP(B68,Scale,2)</f>
        <v>Average Interest</v>
      </c>
      <c r="E68" s="25" t="str">
        <f t="shared" ref="E68:E96" si="5">VLOOKUP(C68,Scale,2)</f>
        <v>Average Interest</v>
      </c>
    </row>
    <row r="69" spans="1:5" x14ac:dyDescent="0.25">
      <c r="A69" s="9">
        <v>45558</v>
      </c>
      <c r="B69" s="6">
        <v>81</v>
      </c>
      <c r="C69" s="21">
        <v>67</v>
      </c>
      <c r="D69" s="24" t="str">
        <f t="shared" si="4"/>
        <v>Above average interest</v>
      </c>
      <c r="E69" s="25" t="str">
        <f t="shared" si="5"/>
        <v>Average Interest</v>
      </c>
    </row>
    <row r="70" spans="1:5" x14ac:dyDescent="0.25">
      <c r="A70" s="9">
        <v>45559</v>
      </c>
      <c r="B70" s="6">
        <v>78</v>
      </c>
      <c r="C70" s="21">
        <v>64</v>
      </c>
      <c r="D70" s="24" t="str">
        <f t="shared" si="4"/>
        <v>Average Interest</v>
      </c>
      <c r="E70" s="25" t="str">
        <f t="shared" si="5"/>
        <v>Average Interest</v>
      </c>
    </row>
    <row r="71" spans="1:5" x14ac:dyDescent="0.25">
      <c r="A71" s="9">
        <v>45560</v>
      </c>
      <c r="B71" s="6">
        <v>77</v>
      </c>
      <c r="C71" s="21">
        <v>65</v>
      </c>
      <c r="D71" s="24" t="str">
        <f t="shared" si="4"/>
        <v>Average Interest</v>
      </c>
      <c r="E71" s="25" t="str">
        <f t="shared" si="5"/>
        <v>Average Interest</v>
      </c>
    </row>
    <row r="72" spans="1:5" x14ac:dyDescent="0.25">
      <c r="A72" s="9">
        <v>45561</v>
      </c>
      <c r="B72" s="6">
        <v>72</v>
      </c>
      <c r="C72" s="21">
        <v>63</v>
      </c>
      <c r="D72" s="24" t="str">
        <f t="shared" si="4"/>
        <v>Average Interest</v>
      </c>
      <c r="E72" s="25" t="str">
        <f t="shared" si="5"/>
        <v>Average Interest</v>
      </c>
    </row>
    <row r="73" spans="1:5" x14ac:dyDescent="0.25">
      <c r="A73" s="9">
        <v>45562</v>
      </c>
      <c r="B73" s="6">
        <v>77</v>
      </c>
      <c r="C73" s="21">
        <v>65</v>
      </c>
      <c r="D73" s="24" t="str">
        <f t="shared" si="4"/>
        <v>Average Interest</v>
      </c>
      <c r="E73" s="25" t="str">
        <f t="shared" si="5"/>
        <v>Average Interest</v>
      </c>
    </row>
    <row r="74" spans="1:5" x14ac:dyDescent="0.25">
      <c r="A74" s="9">
        <v>45563</v>
      </c>
      <c r="B74" s="6">
        <v>89</v>
      </c>
      <c r="C74" s="21">
        <v>82</v>
      </c>
      <c r="D74" s="24" t="str">
        <f t="shared" si="4"/>
        <v>Above average interest</v>
      </c>
      <c r="E74" s="25" t="str">
        <f t="shared" si="5"/>
        <v>Above average interest</v>
      </c>
    </row>
    <row r="75" spans="1:5" x14ac:dyDescent="0.25">
      <c r="A75" s="9">
        <v>45564</v>
      </c>
      <c r="B75" s="6">
        <v>76</v>
      </c>
      <c r="C75" s="21">
        <v>68</v>
      </c>
      <c r="D75" s="24" t="str">
        <f t="shared" si="4"/>
        <v>Average Interest</v>
      </c>
      <c r="E75" s="25" t="str">
        <f t="shared" si="5"/>
        <v>Average Interest</v>
      </c>
    </row>
    <row r="76" spans="1:5" x14ac:dyDescent="0.25">
      <c r="A76" s="9">
        <v>45565</v>
      </c>
      <c r="B76" s="6">
        <v>73</v>
      </c>
      <c r="C76" s="21">
        <v>66</v>
      </c>
      <c r="D76" s="24" t="str">
        <f t="shared" si="4"/>
        <v>Average Interest</v>
      </c>
      <c r="E76" s="25" t="str">
        <f t="shared" si="5"/>
        <v>Average Interest</v>
      </c>
    </row>
    <row r="77" spans="1:5" x14ac:dyDescent="0.25">
      <c r="A77" s="9">
        <v>45566</v>
      </c>
      <c r="B77" s="6">
        <v>76</v>
      </c>
      <c r="C77" s="21">
        <v>65</v>
      </c>
      <c r="D77" s="24" t="str">
        <f t="shared" si="4"/>
        <v>Average Interest</v>
      </c>
      <c r="E77" s="25" t="str">
        <f t="shared" si="5"/>
        <v>Average Interest</v>
      </c>
    </row>
    <row r="78" spans="1:5" x14ac:dyDescent="0.25">
      <c r="A78" s="9">
        <v>45567</v>
      </c>
      <c r="B78" s="6">
        <v>73</v>
      </c>
      <c r="C78" s="21">
        <v>69</v>
      </c>
      <c r="D78" s="24" t="str">
        <f t="shared" si="4"/>
        <v>Average Interest</v>
      </c>
      <c r="E78" s="25" t="str">
        <f t="shared" si="5"/>
        <v>Average Interest</v>
      </c>
    </row>
    <row r="79" spans="1:5" x14ac:dyDescent="0.25">
      <c r="A79" s="9">
        <v>45568</v>
      </c>
      <c r="B79" s="6">
        <v>77</v>
      </c>
      <c r="C79" s="21">
        <v>65</v>
      </c>
      <c r="D79" s="24" t="str">
        <f t="shared" si="4"/>
        <v>Average Interest</v>
      </c>
      <c r="E79" s="25" t="str">
        <f t="shared" si="5"/>
        <v>Average Interest</v>
      </c>
    </row>
    <row r="80" spans="1:5" x14ac:dyDescent="0.25">
      <c r="A80" s="9">
        <v>45569</v>
      </c>
      <c r="B80" s="6">
        <v>79</v>
      </c>
      <c r="C80" s="21">
        <v>66</v>
      </c>
      <c r="D80" s="24" t="str">
        <f t="shared" si="4"/>
        <v>Average Interest</v>
      </c>
      <c r="E80" s="25" t="str">
        <f t="shared" si="5"/>
        <v>Average Interest</v>
      </c>
    </row>
    <row r="81" spans="1:5" x14ac:dyDescent="0.25">
      <c r="A81" s="9">
        <v>45570</v>
      </c>
      <c r="B81" s="6">
        <v>82</v>
      </c>
      <c r="C81" s="21">
        <v>85</v>
      </c>
      <c r="D81" s="24" t="str">
        <f t="shared" si="4"/>
        <v>Above average interest</v>
      </c>
      <c r="E81" s="25" t="str">
        <f t="shared" si="5"/>
        <v>Above average interest</v>
      </c>
    </row>
    <row r="82" spans="1:5" x14ac:dyDescent="0.25">
      <c r="A82" s="9">
        <v>45571</v>
      </c>
      <c r="B82" s="6">
        <v>74</v>
      </c>
      <c r="C82" s="21">
        <v>67</v>
      </c>
      <c r="D82" s="24" t="str">
        <f t="shared" si="4"/>
        <v>Average Interest</v>
      </c>
      <c r="E82" s="25" t="str">
        <f t="shared" si="5"/>
        <v>Average Interest</v>
      </c>
    </row>
    <row r="83" spans="1:5" x14ac:dyDescent="0.25">
      <c r="A83" s="9">
        <v>45572</v>
      </c>
      <c r="B83" s="6">
        <v>77</v>
      </c>
      <c r="C83" s="21">
        <v>65</v>
      </c>
      <c r="D83" s="24" t="str">
        <f t="shared" si="4"/>
        <v>Average Interest</v>
      </c>
      <c r="E83" s="25" t="str">
        <f t="shared" si="5"/>
        <v>Average Interest</v>
      </c>
    </row>
    <row r="84" spans="1:5" x14ac:dyDescent="0.25">
      <c r="A84" s="9">
        <v>45573</v>
      </c>
      <c r="B84" s="6">
        <v>72</v>
      </c>
      <c r="C84" s="21">
        <v>62</v>
      </c>
      <c r="D84" s="24" t="str">
        <f t="shared" si="4"/>
        <v>Average Interest</v>
      </c>
      <c r="E84" s="25" t="str">
        <f t="shared" si="5"/>
        <v>Average Interest</v>
      </c>
    </row>
    <row r="85" spans="1:5" x14ac:dyDescent="0.25">
      <c r="A85" s="9">
        <v>45574</v>
      </c>
      <c r="B85" s="6">
        <v>73</v>
      </c>
      <c r="C85" s="21">
        <v>65</v>
      </c>
      <c r="D85" s="24" t="str">
        <f t="shared" si="4"/>
        <v>Average Interest</v>
      </c>
      <c r="E85" s="25" t="str">
        <f t="shared" si="5"/>
        <v>Average Interest</v>
      </c>
    </row>
    <row r="86" spans="1:5" x14ac:dyDescent="0.25">
      <c r="A86" s="9">
        <v>45575</v>
      </c>
      <c r="B86" s="6">
        <v>73</v>
      </c>
      <c r="C86" s="21">
        <v>69</v>
      </c>
      <c r="D86" s="24" t="str">
        <f t="shared" si="4"/>
        <v>Average Interest</v>
      </c>
      <c r="E86" s="25" t="str">
        <f t="shared" si="5"/>
        <v>Average Interest</v>
      </c>
    </row>
    <row r="87" spans="1:5" x14ac:dyDescent="0.25">
      <c r="A87" s="9">
        <v>45576</v>
      </c>
      <c r="B87" s="6">
        <v>79</v>
      </c>
      <c r="C87" s="21">
        <v>69</v>
      </c>
      <c r="D87" s="24" t="str">
        <f t="shared" si="4"/>
        <v>Average Interest</v>
      </c>
      <c r="E87" s="25" t="str">
        <f t="shared" si="5"/>
        <v>Average Interest</v>
      </c>
    </row>
    <row r="88" spans="1:5" x14ac:dyDescent="0.25">
      <c r="A88" s="9">
        <v>45577</v>
      </c>
      <c r="B88" s="6">
        <v>100</v>
      </c>
      <c r="C88" s="21">
        <v>89</v>
      </c>
      <c r="D88" s="24" t="str">
        <f t="shared" si="4"/>
        <v>High Interest</v>
      </c>
      <c r="E88" s="25" t="str">
        <f t="shared" si="5"/>
        <v>Above average interest</v>
      </c>
    </row>
    <row r="89" spans="1:5" x14ac:dyDescent="0.25">
      <c r="A89" s="9">
        <v>45578</v>
      </c>
      <c r="B89" s="6">
        <v>79</v>
      </c>
      <c r="C89" s="21">
        <v>70</v>
      </c>
      <c r="D89" s="24" t="str">
        <f t="shared" si="4"/>
        <v>Average Interest</v>
      </c>
      <c r="E89" s="25" t="str">
        <f t="shared" si="5"/>
        <v>Average Interest</v>
      </c>
    </row>
    <row r="90" spans="1:5" x14ac:dyDescent="0.25">
      <c r="A90" s="9">
        <v>45579</v>
      </c>
      <c r="B90" s="6">
        <v>83</v>
      </c>
      <c r="C90" s="21">
        <v>71</v>
      </c>
      <c r="D90" s="24" t="str">
        <f t="shared" si="4"/>
        <v>Above average interest</v>
      </c>
      <c r="E90" s="25" t="str">
        <f t="shared" si="5"/>
        <v>Average Interest</v>
      </c>
    </row>
    <row r="91" spans="1:5" x14ac:dyDescent="0.25">
      <c r="A91" s="9">
        <v>45580</v>
      </c>
      <c r="B91" s="6">
        <v>78</v>
      </c>
      <c r="C91" s="21">
        <v>67</v>
      </c>
      <c r="D91" s="24" t="str">
        <f t="shared" si="4"/>
        <v>Average Interest</v>
      </c>
      <c r="E91" s="25" t="str">
        <f t="shared" si="5"/>
        <v>Average Interest</v>
      </c>
    </row>
    <row r="92" spans="1:5" x14ac:dyDescent="0.25">
      <c r="A92" s="9">
        <v>45581</v>
      </c>
      <c r="B92" s="6">
        <v>78</v>
      </c>
      <c r="C92" s="21">
        <v>65</v>
      </c>
      <c r="D92" s="24" t="str">
        <f t="shared" si="4"/>
        <v>Average Interest</v>
      </c>
      <c r="E92" s="25" t="str">
        <f t="shared" si="5"/>
        <v>Average Interest</v>
      </c>
    </row>
    <row r="93" spans="1:5" x14ac:dyDescent="0.25">
      <c r="A93" s="9">
        <v>45582</v>
      </c>
      <c r="B93" s="6">
        <v>76</v>
      </c>
      <c r="C93" s="21">
        <v>66</v>
      </c>
      <c r="D93" s="24" t="str">
        <f t="shared" si="4"/>
        <v>Average Interest</v>
      </c>
      <c r="E93" s="25" t="str">
        <f t="shared" si="5"/>
        <v>Average Interest</v>
      </c>
    </row>
    <row r="94" spans="1:5" x14ac:dyDescent="0.25">
      <c r="A94" s="9">
        <v>45583</v>
      </c>
      <c r="B94" s="6">
        <v>82</v>
      </c>
      <c r="C94" s="21">
        <v>69</v>
      </c>
      <c r="D94" s="24" t="str">
        <f t="shared" si="4"/>
        <v>Above average interest</v>
      </c>
      <c r="E94" s="25" t="str">
        <f t="shared" si="5"/>
        <v>Average Interest</v>
      </c>
    </row>
    <row r="95" spans="1:5" x14ac:dyDescent="0.25">
      <c r="A95" s="9">
        <v>45584</v>
      </c>
      <c r="B95" s="6">
        <v>88</v>
      </c>
      <c r="C95" s="21">
        <v>87</v>
      </c>
      <c r="D95" s="24" t="str">
        <f t="shared" si="4"/>
        <v>Above average interest</v>
      </c>
      <c r="E95" s="25" t="str">
        <f t="shared" si="5"/>
        <v>Above average interest</v>
      </c>
    </row>
    <row r="96" spans="1:5" ht="15.75" thickBot="1" x14ac:dyDescent="0.3">
      <c r="A96" s="28">
        <v>45585</v>
      </c>
      <c r="B96" s="29">
        <v>80</v>
      </c>
      <c r="C96" s="30">
        <v>68</v>
      </c>
      <c r="D96" s="26" t="str">
        <f t="shared" si="4"/>
        <v>Above average interest</v>
      </c>
      <c r="E96" s="27" t="str">
        <f t="shared" si="5"/>
        <v>Average Interest</v>
      </c>
    </row>
    <row r="97" spans="1:5" ht="15.75" thickBot="1" x14ac:dyDescent="0.3">
      <c r="A97" s="8" t="s">
        <v>22</v>
      </c>
      <c r="B97" s="13">
        <f>SUM(B4:B96)</f>
        <v>7726</v>
      </c>
      <c r="C97" s="14">
        <f>SUM(C4:C96)</f>
        <v>6929</v>
      </c>
    </row>
    <row r="98" spans="1:5" ht="15.75" thickBot="1" x14ac:dyDescent="0.3"/>
    <row r="99" spans="1:5" ht="15.75" thickBot="1" x14ac:dyDescent="0.3">
      <c r="A99" s="31" t="s">
        <v>49</v>
      </c>
      <c r="B99" s="66" t="s">
        <v>60</v>
      </c>
      <c r="C99" s="67"/>
      <c r="D99" s="67"/>
      <c r="E99" s="68"/>
    </row>
    <row r="100" spans="1:5" x14ac:dyDescent="0.25">
      <c r="A100" s="54" t="s">
        <v>65</v>
      </c>
      <c r="B100" s="69" t="s">
        <v>74</v>
      </c>
      <c r="C100" s="69"/>
      <c r="D100" s="69"/>
      <c r="E100" s="69"/>
    </row>
    <row r="101" spans="1:5" x14ac:dyDescent="0.25">
      <c r="A101" s="55" t="s">
        <v>66</v>
      </c>
      <c r="B101" s="65" t="s">
        <v>75</v>
      </c>
      <c r="C101" s="65"/>
      <c r="D101" s="65"/>
      <c r="E101" s="65"/>
    </row>
    <row r="102" spans="1:5" x14ac:dyDescent="0.25">
      <c r="A102" s="55" t="s">
        <v>67</v>
      </c>
      <c r="B102" s="65" t="s">
        <v>76</v>
      </c>
      <c r="C102" s="65"/>
      <c r="D102" s="65"/>
      <c r="E102" s="65"/>
    </row>
    <row r="103" spans="1:5" x14ac:dyDescent="0.25">
      <c r="A103" s="56" t="s">
        <v>68</v>
      </c>
      <c r="B103" s="65" t="s">
        <v>77</v>
      </c>
      <c r="C103" s="65"/>
      <c r="D103" s="65"/>
      <c r="E103" s="65"/>
    </row>
    <row r="104" spans="1:5" x14ac:dyDescent="0.25">
      <c r="A104" s="55" t="s">
        <v>69</v>
      </c>
      <c r="B104" s="65" t="s">
        <v>78</v>
      </c>
      <c r="C104" s="65"/>
      <c r="D104" s="65"/>
      <c r="E104" s="65"/>
    </row>
    <row r="105" spans="1:5" x14ac:dyDescent="0.25">
      <c r="A105" s="55" t="s">
        <v>70</v>
      </c>
      <c r="B105" s="65" t="s">
        <v>79</v>
      </c>
      <c r="C105" s="65"/>
      <c r="D105" s="65"/>
      <c r="E105" s="65"/>
    </row>
    <row r="106" spans="1:5" x14ac:dyDescent="0.25">
      <c r="A106" s="55" t="s">
        <v>71</v>
      </c>
      <c r="B106" s="65" t="s">
        <v>80</v>
      </c>
      <c r="C106" s="65"/>
      <c r="D106" s="65"/>
      <c r="E106" s="65"/>
    </row>
    <row r="107" spans="1:5" x14ac:dyDescent="0.25">
      <c r="A107" s="55" t="s">
        <v>72</v>
      </c>
      <c r="B107" s="65" t="s">
        <v>81</v>
      </c>
      <c r="C107" s="65"/>
      <c r="D107" s="65"/>
      <c r="E107" s="65"/>
    </row>
    <row r="108" spans="1:5" x14ac:dyDescent="0.25">
      <c r="A108" s="55" t="s">
        <v>73</v>
      </c>
      <c r="B108" s="65" t="s">
        <v>89</v>
      </c>
      <c r="C108" s="65"/>
      <c r="D108" s="65"/>
      <c r="E108" s="65"/>
    </row>
  </sheetData>
  <mergeCells count="12">
    <mergeCell ref="B108:E108"/>
    <mergeCell ref="B99:E99"/>
    <mergeCell ref="B101:E101"/>
    <mergeCell ref="B100:E100"/>
    <mergeCell ref="B102:E102"/>
    <mergeCell ref="B103:E103"/>
    <mergeCell ref="B104:E104"/>
    <mergeCell ref="F4:G4"/>
    <mergeCell ref="F10:G10"/>
    <mergeCell ref="B105:E105"/>
    <mergeCell ref="B106:E106"/>
    <mergeCell ref="B107:E107"/>
  </mergeCells>
  <conditionalFormatting sqref="B4:C96">
    <cfRule type="dataBar" priority="1">
      <dataBar>
        <cfvo type="min"/>
        <cfvo type="max"/>
        <color rgb="FF638EC6"/>
      </dataBar>
      <extLst>
        <ext xmlns:x14="http://schemas.microsoft.com/office/spreadsheetml/2009/9/main" uri="{B025F937-C7B1-47D3-B67F-A62EFF666E3E}">
          <x14:id>{2086BE32-332D-4319-916C-9E4D80AA1C79}</x14:id>
        </ext>
      </extLst>
    </cfRule>
  </conditionalFormatting>
  <conditionalFormatting sqref="D4:D96">
    <cfRule type="cellIs" dxfId="2" priority="3" operator="equal">
      <formula>"Above average interest"</formula>
    </cfRule>
    <cfRule type="cellIs" dxfId="1" priority="4" operator="equal">
      <formula>"Above Average"</formula>
    </cfRule>
  </conditionalFormatting>
  <conditionalFormatting sqref="E4:E96">
    <cfRule type="cellIs" dxfId="0" priority="2" operator="equal">
      <formula>"Average Interest"</formula>
    </cfRule>
  </conditionalFormatting>
  <dataValidations count="2">
    <dataValidation type="list" allowBlank="1" showInputMessage="1" showErrorMessage="1" sqref="G5" xr:uid="{C6FE51F8-BA1B-404B-BB7F-860DF5728D1B}">
      <formula1>$B$3:$C$3</formula1>
    </dataValidation>
    <dataValidation type="list" allowBlank="1" showInputMessage="1" showErrorMessage="1" sqref="G6" xr:uid="{5B659C51-4803-4FA2-A861-E31608BEF431}">
      <formula1>$A$4:$A$96</formula1>
    </dataValidation>
  </dataValidations>
  <pageMargins left="0.7" right="0.7" top="0.75" bottom="0.75" header="0.3" footer="0.3"/>
  <pageSetup scale="54" orientation="portrait" r:id="rId1"/>
  <extLst>
    <ext xmlns:x14="http://schemas.microsoft.com/office/spreadsheetml/2009/9/main" uri="{78C0D931-6437-407d-A8EE-F0AAD7539E65}">
      <x14:conditionalFormattings>
        <x14:conditionalFormatting xmlns:xm="http://schemas.microsoft.com/office/excel/2006/main">
          <x14:cfRule type="dataBar" id="{2086BE32-332D-4319-916C-9E4D80AA1C79}">
            <x14:dataBar minLength="0" maxLength="100" border="1" negativeBarBorderColorSameAsPositive="0">
              <x14:cfvo type="autoMin"/>
              <x14:cfvo type="autoMax"/>
              <x14:borderColor rgb="FF638EC6"/>
              <x14:negativeFillColor rgb="FFFF0000"/>
              <x14:negativeBorderColor rgb="FFFF0000"/>
              <x14:axisColor rgb="FF000000"/>
            </x14:dataBar>
          </x14:cfRule>
          <xm:sqref>B4:C96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9C6C-9F38-443B-8182-721B8A9D0B38}">
  <dimension ref="A1:F97"/>
  <sheetViews>
    <sheetView zoomScaleNormal="100" workbookViewId="0">
      <selection activeCell="F9" sqref="F9"/>
    </sheetView>
  </sheetViews>
  <sheetFormatPr defaultRowHeight="15" x14ac:dyDescent="0.25"/>
  <cols>
    <col min="1" max="1" width="11.42578125" customWidth="1"/>
    <col min="2" max="2" width="20.5703125" bestFit="1" customWidth="1"/>
    <col min="3" max="3" width="20.85546875" bestFit="1" customWidth="1"/>
    <col min="5" max="5" width="17.28515625" customWidth="1"/>
    <col min="6" max="6" width="18.140625" customWidth="1"/>
  </cols>
  <sheetData>
    <row r="1" spans="1:6" x14ac:dyDescent="0.25">
      <c r="A1" t="s">
        <v>0</v>
      </c>
    </row>
    <row r="2" spans="1:6" ht="15.75" thickBot="1" x14ac:dyDescent="0.3"/>
    <row r="3" spans="1:6" ht="15.75" thickBot="1" x14ac:dyDescent="0.3">
      <c r="A3" s="8" t="s">
        <v>3</v>
      </c>
      <c r="B3" s="15" t="s">
        <v>1</v>
      </c>
      <c r="C3" s="16" t="s">
        <v>2</v>
      </c>
      <c r="E3" s="70" t="s">
        <v>48</v>
      </c>
      <c r="F3" s="70"/>
    </row>
    <row r="4" spans="1:6" x14ac:dyDescent="0.25">
      <c r="A4" s="12">
        <v>45493</v>
      </c>
      <c r="B4" s="10">
        <v>98</v>
      </c>
      <c r="C4" s="10">
        <v>91</v>
      </c>
      <c r="E4" s="45" t="s">
        <v>38</v>
      </c>
      <c r="F4" s="45" t="s">
        <v>39</v>
      </c>
    </row>
    <row r="5" spans="1:6" x14ac:dyDescent="0.25">
      <c r="A5" s="9">
        <v>45494</v>
      </c>
      <c r="B5" s="6">
        <v>85</v>
      </c>
      <c r="C5" s="6">
        <v>80</v>
      </c>
      <c r="E5" s="32" t="s">
        <v>40</v>
      </c>
      <c r="F5" s="46">
        <f>SUM(B4:B96)</f>
        <v>7726</v>
      </c>
    </row>
    <row r="6" spans="1:6" x14ac:dyDescent="0.25">
      <c r="A6" s="9">
        <v>45495</v>
      </c>
      <c r="B6" s="6">
        <v>89</v>
      </c>
      <c r="C6" s="6">
        <v>78</v>
      </c>
      <c r="E6" s="32" t="s">
        <v>41</v>
      </c>
      <c r="F6" s="46">
        <f>SUM(C4:C96)</f>
        <v>6929</v>
      </c>
    </row>
    <row r="7" spans="1:6" x14ac:dyDescent="0.25">
      <c r="A7" s="9">
        <v>45496</v>
      </c>
      <c r="B7" s="6">
        <v>90</v>
      </c>
      <c r="C7" s="6">
        <v>79</v>
      </c>
      <c r="E7" s="32" t="s">
        <v>42</v>
      </c>
      <c r="F7" s="47">
        <f>AVERAGE(B4:B96)</f>
        <v>83.075268817204304</v>
      </c>
    </row>
    <row r="8" spans="1:6" x14ac:dyDescent="0.25">
      <c r="A8" s="9">
        <v>45497</v>
      </c>
      <c r="B8" s="6">
        <v>85</v>
      </c>
      <c r="C8" s="6">
        <v>79</v>
      </c>
      <c r="E8" s="32" t="s">
        <v>43</v>
      </c>
      <c r="F8" s="47">
        <f>AVERAGE(C4:C96)</f>
        <v>74.505376344086017</v>
      </c>
    </row>
    <row r="9" spans="1:6" x14ac:dyDescent="0.25">
      <c r="A9" s="9">
        <v>45498</v>
      </c>
      <c r="B9" s="6">
        <v>88</v>
      </c>
      <c r="C9" s="6">
        <v>80</v>
      </c>
      <c r="E9" s="32" t="s">
        <v>44</v>
      </c>
      <c r="F9" s="46">
        <f>SUMIF(B4:B96, "&gt;80")</f>
        <v>4818</v>
      </c>
    </row>
    <row r="10" spans="1:6" x14ac:dyDescent="0.25">
      <c r="A10" s="9">
        <v>45499</v>
      </c>
      <c r="B10" s="6">
        <v>89</v>
      </c>
      <c r="C10" s="6">
        <v>76</v>
      </c>
      <c r="E10" s="32" t="s">
        <v>45</v>
      </c>
      <c r="F10" s="47">
        <f>SUMIF(C4:C96, "&gt;80")</f>
        <v>1424</v>
      </c>
    </row>
    <row r="11" spans="1:6" x14ac:dyDescent="0.25">
      <c r="A11" s="9">
        <v>45500</v>
      </c>
      <c r="B11" s="6">
        <v>96</v>
      </c>
      <c r="C11" s="6">
        <v>100</v>
      </c>
      <c r="E11" s="32" t="s">
        <v>46</v>
      </c>
      <c r="F11" s="47">
        <f>AVERAGEIF(B4:B96, "&lt;80")</f>
        <v>76.228571428571428</v>
      </c>
    </row>
    <row r="12" spans="1:6" x14ac:dyDescent="0.25">
      <c r="A12" s="9">
        <v>45501</v>
      </c>
      <c r="B12" s="6">
        <v>86</v>
      </c>
      <c r="C12" s="6">
        <v>77</v>
      </c>
      <c r="E12" s="32" t="s">
        <v>47</v>
      </c>
      <c r="F12" s="47">
        <f>AVERAGEIF(C4:C96, "&lt;80")</f>
        <v>70.774647887323937</v>
      </c>
    </row>
    <row r="13" spans="1:6" x14ac:dyDescent="0.25">
      <c r="A13" s="9">
        <v>45502</v>
      </c>
      <c r="B13" s="6">
        <v>88</v>
      </c>
      <c r="C13" s="6">
        <v>75</v>
      </c>
    </row>
    <row r="14" spans="1:6" x14ac:dyDescent="0.25">
      <c r="A14" s="9">
        <v>45503</v>
      </c>
      <c r="B14" s="6">
        <v>89</v>
      </c>
      <c r="C14" s="6">
        <v>76</v>
      </c>
    </row>
    <row r="15" spans="1:6" x14ac:dyDescent="0.25">
      <c r="A15" s="9">
        <v>45504</v>
      </c>
      <c r="B15" s="6">
        <v>86</v>
      </c>
      <c r="C15" s="6">
        <v>71</v>
      </c>
    </row>
    <row r="16" spans="1:6" x14ac:dyDescent="0.25">
      <c r="A16" s="9">
        <v>45505</v>
      </c>
      <c r="B16" s="6">
        <v>86</v>
      </c>
      <c r="C16" s="6">
        <v>72</v>
      </c>
    </row>
    <row r="17" spans="1:3" x14ac:dyDescent="0.25">
      <c r="A17" s="9">
        <v>45506</v>
      </c>
      <c r="B17" s="6">
        <v>86</v>
      </c>
      <c r="C17" s="6">
        <v>83</v>
      </c>
    </row>
    <row r="18" spans="1:3" x14ac:dyDescent="0.25">
      <c r="A18" s="9">
        <v>45507</v>
      </c>
      <c r="B18" s="6">
        <v>96</v>
      </c>
      <c r="C18" s="6">
        <v>92</v>
      </c>
    </row>
    <row r="19" spans="1:3" x14ac:dyDescent="0.25">
      <c r="A19" s="9">
        <v>45508</v>
      </c>
      <c r="B19" s="6">
        <v>84</v>
      </c>
      <c r="C19" s="6">
        <v>79</v>
      </c>
    </row>
    <row r="20" spans="1:3" x14ac:dyDescent="0.25">
      <c r="A20" s="9">
        <v>45509</v>
      </c>
      <c r="B20" s="6">
        <v>85</v>
      </c>
      <c r="C20" s="6">
        <v>68</v>
      </c>
    </row>
    <row r="21" spans="1:3" x14ac:dyDescent="0.25">
      <c r="A21" s="9">
        <v>45510</v>
      </c>
      <c r="B21" s="6">
        <v>83</v>
      </c>
      <c r="C21" s="6">
        <v>78</v>
      </c>
    </row>
    <row r="22" spans="1:3" x14ac:dyDescent="0.25">
      <c r="A22" s="9">
        <v>45511</v>
      </c>
      <c r="B22" s="6">
        <v>83</v>
      </c>
      <c r="C22" s="6">
        <v>78</v>
      </c>
    </row>
    <row r="23" spans="1:3" x14ac:dyDescent="0.25">
      <c r="A23" s="9">
        <v>45512</v>
      </c>
      <c r="B23" s="6">
        <v>80</v>
      </c>
      <c r="C23" s="6">
        <v>72</v>
      </c>
    </row>
    <row r="24" spans="1:3" x14ac:dyDescent="0.25">
      <c r="A24" s="9">
        <v>45513</v>
      </c>
      <c r="B24" s="6">
        <v>84</v>
      </c>
      <c r="C24" s="6">
        <v>79</v>
      </c>
    </row>
    <row r="25" spans="1:3" x14ac:dyDescent="0.25">
      <c r="A25" s="9">
        <v>45514</v>
      </c>
      <c r="B25" s="6">
        <v>95</v>
      </c>
      <c r="C25" s="6">
        <v>92</v>
      </c>
    </row>
    <row r="26" spans="1:3" x14ac:dyDescent="0.25">
      <c r="A26" s="9">
        <v>45515</v>
      </c>
      <c r="B26" s="6">
        <v>88</v>
      </c>
      <c r="C26" s="6">
        <v>77</v>
      </c>
    </row>
    <row r="27" spans="1:3" x14ac:dyDescent="0.25">
      <c r="A27" s="9">
        <v>45516</v>
      </c>
      <c r="B27" s="6">
        <v>86</v>
      </c>
      <c r="C27" s="6">
        <v>81</v>
      </c>
    </row>
    <row r="28" spans="1:3" x14ac:dyDescent="0.25">
      <c r="A28" s="9">
        <v>45517</v>
      </c>
      <c r="B28" s="6">
        <v>82</v>
      </c>
      <c r="C28" s="6">
        <v>78</v>
      </c>
    </row>
    <row r="29" spans="1:3" x14ac:dyDescent="0.25">
      <c r="A29" s="9">
        <v>45518</v>
      </c>
      <c r="B29" s="6">
        <v>89</v>
      </c>
      <c r="C29" s="6">
        <v>75</v>
      </c>
    </row>
    <row r="30" spans="1:3" x14ac:dyDescent="0.25">
      <c r="A30" s="9">
        <v>45519</v>
      </c>
      <c r="B30" s="6">
        <v>86</v>
      </c>
      <c r="C30" s="6">
        <v>79</v>
      </c>
    </row>
    <row r="31" spans="1:3" x14ac:dyDescent="0.25">
      <c r="A31" s="9">
        <v>45520</v>
      </c>
      <c r="B31" s="6">
        <v>87</v>
      </c>
      <c r="C31" s="6">
        <v>79</v>
      </c>
    </row>
    <row r="32" spans="1:3" x14ac:dyDescent="0.25">
      <c r="A32" s="9">
        <v>45521</v>
      </c>
      <c r="B32" s="6">
        <v>97</v>
      </c>
      <c r="C32" s="6">
        <v>97</v>
      </c>
    </row>
    <row r="33" spans="1:3" x14ac:dyDescent="0.25">
      <c r="A33" s="9">
        <v>45522</v>
      </c>
      <c r="B33" s="6">
        <v>91</v>
      </c>
      <c r="C33" s="6">
        <v>80</v>
      </c>
    </row>
    <row r="34" spans="1:3" x14ac:dyDescent="0.25">
      <c r="A34" s="9">
        <v>45523</v>
      </c>
      <c r="B34" s="6">
        <v>88</v>
      </c>
      <c r="C34" s="6">
        <v>78</v>
      </c>
    </row>
    <row r="35" spans="1:3" x14ac:dyDescent="0.25">
      <c r="A35" s="9">
        <v>45524</v>
      </c>
      <c r="B35" s="6">
        <v>85</v>
      </c>
      <c r="C35" s="6">
        <v>78</v>
      </c>
    </row>
    <row r="36" spans="1:3" x14ac:dyDescent="0.25">
      <c r="A36" s="9">
        <v>45525</v>
      </c>
      <c r="B36" s="6">
        <v>86</v>
      </c>
      <c r="C36" s="6">
        <v>76</v>
      </c>
    </row>
    <row r="37" spans="1:3" x14ac:dyDescent="0.25">
      <c r="A37" s="9">
        <v>45526</v>
      </c>
      <c r="B37" s="6">
        <v>88</v>
      </c>
      <c r="C37" s="6">
        <v>80</v>
      </c>
    </row>
    <row r="38" spans="1:3" x14ac:dyDescent="0.25">
      <c r="A38" s="9">
        <v>45527</v>
      </c>
      <c r="B38" s="6">
        <v>82</v>
      </c>
      <c r="C38" s="6">
        <v>70</v>
      </c>
    </row>
    <row r="39" spans="1:3" x14ac:dyDescent="0.25">
      <c r="A39" s="9">
        <v>45528</v>
      </c>
      <c r="B39" s="6">
        <v>99</v>
      </c>
      <c r="C39" s="6">
        <v>98</v>
      </c>
    </row>
    <row r="40" spans="1:3" x14ac:dyDescent="0.25">
      <c r="A40" s="9">
        <v>45529</v>
      </c>
      <c r="B40" s="6">
        <v>92</v>
      </c>
      <c r="C40" s="6">
        <v>80</v>
      </c>
    </row>
    <row r="41" spans="1:3" x14ac:dyDescent="0.25">
      <c r="A41" s="9">
        <v>45530</v>
      </c>
      <c r="B41" s="6">
        <v>81</v>
      </c>
      <c r="C41" s="6">
        <v>75</v>
      </c>
    </row>
    <row r="42" spans="1:3" x14ac:dyDescent="0.25">
      <c r="A42" s="9">
        <v>45531</v>
      </c>
      <c r="B42" s="6">
        <v>83</v>
      </c>
      <c r="C42" s="6">
        <v>73</v>
      </c>
    </row>
    <row r="43" spans="1:3" x14ac:dyDescent="0.25">
      <c r="A43" s="9">
        <v>45532</v>
      </c>
      <c r="B43" s="6">
        <v>87</v>
      </c>
      <c r="C43" s="6">
        <v>76</v>
      </c>
    </row>
    <row r="44" spans="1:3" x14ac:dyDescent="0.25">
      <c r="A44" s="9">
        <v>45533</v>
      </c>
      <c r="B44" s="6">
        <v>81</v>
      </c>
      <c r="C44" s="6">
        <v>73</v>
      </c>
    </row>
    <row r="45" spans="1:3" x14ac:dyDescent="0.25">
      <c r="A45" s="9">
        <v>45534</v>
      </c>
      <c r="B45" s="6">
        <v>84</v>
      </c>
      <c r="C45" s="6">
        <v>75</v>
      </c>
    </row>
    <row r="46" spans="1:3" x14ac:dyDescent="0.25">
      <c r="A46" s="9">
        <v>45535</v>
      </c>
      <c r="B46" s="6">
        <v>89</v>
      </c>
      <c r="C46" s="6">
        <v>92</v>
      </c>
    </row>
    <row r="47" spans="1:3" x14ac:dyDescent="0.25">
      <c r="A47" s="9">
        <v>45536</v>
      </c>
      <c r="B47" s="6">
        <v>83</v>
      </c>
      <c r="C47" s="6">
        <v>73</v>
      </c>
    </row>
    <row r="48" spans="1:3" x14ac:dyDescent="0.25">
      <c r="A48" s="9">
        <v>45537</v>
      </c>
      <c r="B48" s="6">
        <v>89</v>
      </c>
      <c r="C48" s="6">
        <v>80</v>
      </c>
    </row>
    <row r="49" spans="1:3" x14ac:dyDescent="0.25">
      <c r="A49" s="9">
        <v>45538</v>
      </c>
      <c r="B49" s="6">
        <v>75</v>
      </c>
      <c r="C49" s="6">
        <v>71</v>
      </c>
    </row>
    <row r="50" spans="1:3" x14ac:dyDescent="0.25">
      <c r="A50" s="9">
        <v>45539</v>
      </c>
      <c r="B50" s="6">
        <v>77</v>
      </c>
      <c r="C50" s="6">
        <v>71</v>
      </c>
    </row>
    <row r="51" spans="1:3" x14ac:dyDescent="0.25">
      <c r="A51" s="9">
        <v>45540</v>
      </c>
      <c r="B51" s="6">
        <v>77</v>
      </c>
      <c r="C51" s="6">
        <v>64</v>
      </c>
    </row>
    <row r="52" spans="1:3" x14ac:dyDescent="0.25">
      <c r="A52" s="9">
        <v>45541</v>
      </c>
      <c r="B52" s="6">
        <v>79</v>
      </c>
      <c r="C52" s="6">
        <v>67</v>
      </c>
    </row>
    <row r="53" spans="1:3" x14ac:dyDescent="0.25">
      <c r="A53" s="9">
        <v>45542</v>
      </c>
      <c r="B53" s="6">
        <v>89</v>
      </c>
      <c r="C53" s="6">
        <v>83</v>
      </c>
    </row>
    <row r="54" spans="1:3" x14ac:dyDescent="0.25">
      <c r="A54" s="9">
        <v>45543</v>
      </c>
      <c r="B54" s="6">
        <v>74</v>
      </c>
      <c r="C54" s="6">
        <v>68</v>
      </c>
    </row>
    <row r="55" spans="1:3" x14ac:dyDescent="0.25">
      <c r="A55" s="9">
        <v>45544</v>
      </c>
      <c r="B55" s="6">
        <v>79</v>
      </c>
      <c r="C55" s="6">
        <v>68</v>
      </c>
    </row>
    <row r="56" spans="1:3" x14ac:dyDescent="0.25">
      <c r="A56" s="9">
        <v>45545</v>
      </c>
      <c r="B56" s="6">
        <v>75</v>
      </c>
      <c r="C56" s="6">
        <v>68</v>
      </c>
    </row>
    <row r="57" spans="1:3" x14ac:dyDescent="0.25">
      <c r="A57" s="9">
        <v>45546</v>
      </c>
      <c r="B57" s="6">
        <v>73</v>
      </c>
      <c r="C57" s="6">
        <v>64</v>
      </c>
    </row>
    <row r="58" spans="1:3" x14ac:dyDescent="0.25">
      <c r="A58" s="9">
        <v>45547</v>
      </c>
      <c r="B58" s="6">
        <v>78</v>
      </c>
      <c r="C58" s="6">
        <v>68</v>
      </c>
    </row>
    <row r="59" spans="1:3" x14ac:dyDescent="0.25">
      <c r="A59" s="9">
        <v>45548</v>
      </c>
      <c r="B59" s="6">
        <v>77</v>
      </c>
      <c r="C59" s="6">
        <v>67</v>
      </c>
    </row>
    <row r="60" spans="1:3" x14ac:dyDescent="0.25">
      <c r="A60" s="9">
        <v>45549</v>
      </c>
      <c r="B60" s="6">
        <v>94</v>
      </c>
      <c r="C60" s="6">
        <v>84</v>
      </c>
    </row>
    <row r="61" spans="1:3" x14ac:dyDescent="0.25">
      <c r="A61" s="9">
        <v>45550</v>
      </c>
      <c r="B61" s="6">
        <v>77</v>
      </c>
      <c r="C61" s="6">
        <v>67</v>
      </c>
    </row>
    <row r="62" spans="1:3" x14ac:dyDescent="0.25">
      <c r="A62" s="9">
        <v>45551</v>
      </c>
      <c r="B62" s="6">
        <v>82</v>
      </c>
      <c r="C62" s="6">
        <v>69</v>
      </c>
    </row>
    <row r="63" spans="1:3" x14ac:dyDescent="0.25">
      <c r="A63" s="9">
        <v>45552</v>
      </c>
      <c r="B63" s="6">
        <v>79</v>
      </c>
      <c r="C63" s="6">
        <v>66</v>
      </c>
    </row>
    <row r="64" spans="1:3" x14ac:dyDescent="0.25">
      <c r="A64" s="9">
        <v>45553</v>
      </c>
      <c r="B64" s="6">
        <v>75</v>
      </c>
      <c r="C64" s="6">
        <v>69</v>
      </c>
    </row>
    <row r="65" spans="1:3" x14ac:dyDescent="0.25">
      <c r="A65" s="9">
        <v>45554</v>
      </c>
      <c r="B65" s="6">
        <v>78</v>
      </c>
      <c r="C65" s="6">
        <v>67</v>
      </c>
    </row>
    <row r="66" spans="1:3" x14ac:dyDescent="0.25">
      <c r="A66" s="9">
        <v>45555</v>
      </c>
      <c r="B66" s="6">
        <v>80</v>
      </c>
      <c r="C66" s="6">
        <v>71</v>
      </c>
    </row>
    <row r="67" spans="1:3" x14ac:dyDescent="0.25">
      <c r="A67" s="9">
        <v>45556</v>
      </c>
      <c r="B67" s="6">
        <v>94</v>
      </c>
      <c r="C67" s="6">
        <v>88</v>
      </c>
    </row>
    <row r="68" spans="1:3" x14ac:dyDescent="0.25">
      <c r="A68" s="9">
        <v>45557</v>
      </c>
      <c r="B68" s="6">
        <v>78</v>
      </c>
      <c r="C68" s="6">
        <v>72</v>
      </c>
    </row>
    <row r="69" spans="1:3" x14ac:dyDescent="0.25">
      <c r="A69" s="9">
        <v>45558</v>
      </c>
      <c r="B69" s="6">
        <v>81</v>
      </c>
      <c r="C69" s="6">
        <v>67</v>
      </c>
    </row>
    <row r="70" spans="1:3" x14ac:dyDescent="0.25">
      <c r="A70" s="9">
        <v>45559</v>
      </c>
      <c r="B70" s="6">
        <v>78</v>
      </c>
      <c r="C70" s="6">
        <v>64</v>
      </c>
    </row>
    <row r="71" spans="1:3" x14ac:dyDescent="0.25">
      <c r="A71" s="9">
        <v>45560</v>
      </c>
      <c r="B71" s="6">
        <v>77</v>
      </c>
      <c r="C71" s="6">
        <v>65</v>
      </c>
    </row>
    <row r="72" spans="1:3" x14ac:dyDescent="0.25">
      <c r="A72" s="9">
        <v>45561</v>
      </c>
      <c r="B72" s="6">
        <v>72</v>
      </c>
      <c r="C72" s="6">
        <v>63</v>
      </c>
    </row>
    <row r="73" spans="1:3" x14ac:dyDescent="0.25">
      <c r="A73" s="9">
        <v>45562</v>
      </c>
      <c r="B73" s="6">
        <v>77</v>
      </c>
      <c r="C73" s="6">
        <v>65</v>
      </c>
    </row>
    <row r="74" spans="1:3" x14ac:dyDescent="0.25">
      <c r="A74" s="9">
        <v>45563</v>
      </c>
      <c r="B74" s="6">
        <v>89</v>
      </c>
      <c r="C74" s="6">
        <v>82</v>
      </c>
    </row>
    <row r="75" spans="1:3" x14ac:dyDescent="0.25">
      <c r="A75" s="9">
        <v>45564</v>
      </c>
      <c r="B75" s="6">
        <v>76</v>
      </c>
      <c r="C75" s="6">
        <v>68</v>
      </c>
    </row>
    <row r="76" spans="1:3" x14ac:dyDescent="0.25">
      <c r="A76" s="9">
        <v>45565</v>
      </c>
      <c r="B76" s="6">
        <v>73</v>
      </c>
      <c r="C76" s="6">
        <v>66</v>
      </c>
    </row>
    <row r="77" spans="1:3" x14ac:dyDescent="0.25">
      <c r="A77" s="9">
        <v>45566</v>
      </c>
      <c r="B77" s="6">
        <v>76</v>
      </c>
      <c r="C77" s="6">
        <v>65</v>
      </c>
    </row>
    <row r="78" spans="1:3" x14ac:dyDescent="0.25">
      <c r="A78" s="9">
        <v>45567</v>
      </c>
      <c r="B78" s="6">
        <v>73</v>
      </c>
      <c r="C78" s="6">
        <v>69</v>
      </c>
    </row>
    <row r="79" spans="1:3" x14ac:dyDescent="0.25">
      <c r="A79" s="9">
        <v>45568</v>
      </c>
      <c r="B79" s="6">
        <v>77</v>
      </c>
      <c r="C79" s="6">
        <v>65</v>
      </c>
    </row>
    <row r="80" spans="1:3" x14ac:dyDescent="0.25">
      <c r="A80" s="9">
        <v>45569</v>
      </c>
      <c r="B80" s="6">
        <v>79</v>
      </c>
      <c r="C80" s="6">
        <v>66</v>
      </c>
    </row>
    <row r="81" spans="1:3" x14ac:dyDescent="0.25">
      <c r="A81" s="9">
        <v>45570</v>
      </c>
      <c r="B81" s="6">
        <v>82</v>
      </c>
      <c r="C81" s="6">
        <v>85</v>
      </c>
    </row>
    <row r="82" spans="1:3" x14ac:dyDescent="0.25">
      <c r="A82" s="9">
        <v>45571</v>
      </c>
      <c r="B82" s="6">
        <v>74</v>
      </c>
      <c r="C82" s="6">
        <v>67</v>
      </c>
    </row>
    <row r="83" spans="1:3" x14ac:dyDescent="0.25">
      <c r="A83" s="9">
        <v>45572</v>
      </c>
      <c r="B83" s="6">
        <v>77</v>
      </c>
      <c r="C83" s="6">
        <v>65</v>
      </c>
    </row>
    <row r="84" spans="1:3" x14ac:dyDescent="0.25">
      <c r="A84" s="9">
        <v>45573</v>
      </c>
      <c r="B84" s="6">
        <v>72</v>
      </c>
      <c r="C84" s="6">
        <v>62</v>
      </c>
    </row>
    <row r="85" spans="1:3" x14ac:dyDescent="0.25">
      <c r="A85" s="9">
        <v>45574</v>
      </c>
      <c r="B85" s="6">
        <v>73</v>
      </c>
      <c r="C85" s="6">
        <v>65</v>
      </c>
    </row>
    <row r="86" spans="1:3" x14ac:dyDescent="0.25">
      <c r="A86" s="9">
        <v>45575</v>
      </c>
      <c r="B86" s="6">
        <v>73</v>
      </c>
      <c r="C86" s="6">
        <v>69</v>
      </c>
    </row>
    <row r="87" spans="1:3" x14ac:dyDescent="0.25">
      <c r="A87" s="9">
        <v>45576</v>
      </c>
      <c r="B87" s="6">
        <v>79</v>
      </c>
      <c r="C87" s="6">
        <v>69</v>
      </c>
    </row>
    <row r="88" spans="1:3" x14ac:dyDescent="0.25">
      <c r="A88" s="9">
        <v>45577</v>
      </c>
      <c r="B88" s="6">
        <v>100</v>
      </c>
      <c r="C88" s="6">
        <v>89</v>
      </c>
    </row>
    <row r="89" spans="1:3" x14ac:dyDescent="0.25">
      <c r="A89" s="9">
        <v>45578</v>
      </c>
      <c r="B89" s="6">
        <v>79</v>
      </c>
      <c r="C89" s="6">
        <v>70</v>
      </c>
    </row>
    <row r="90" spans="1:3" x14ac:dyDescent="0.25">
      <c r="A90" s="9">
        <v>45579</v>
      </c>
      <c r="B90" s="6">
        <v>83</v>
      </c>
      <c r="C90" s="6">
        <v>71</v>
      </c>
    </row>
    <row r="91" spans="1:3" x14ac:dyDescent="0.25">
      <c r="A91" s="9">
        <v>45580</v>
      </c>
      <c r="B91" s="6">
        <v>78</v>
      </c>
      <c r="C91" s="6">
        <v>67</v>
      </c>
    </row>
    <row r="92" spans="1:3" x14ac:dyDescent="0.25">
      <c r="A92" s="9">
        <v>45581</v>
      </c>
      <c r="B92" s="6">
        <v>78</v>
      </c>
      <c r="C92" s="6">
        <v>65</v>
      </c>
    </row>
    <row r="93" spans="1:3" x14ac:dyDescent="0.25">
      <c r="A93" s="9">
        <v>45582</v>
      </c>
      <c r="B93" s="6">
        <v>76</v>
      </c>
      <c r="C93" s="6">
        <v>66</v>
      </c>
    </row>
    <row r="94" spans="1:3" x14ac:dyDescent="0.25">
      <c r="A94" s="9">
        <v>45583</v>
      </c>
      <c r="B94" s="6">
        <v>82</v>
      </c>
      <c r="C94" s="6">
        <v>69</v>
      </c>
    </row>
    <row r="95" spans="1:3" x14ac:dyDescent="0.25">
      <c r="A95" s="9">
        <v>45584</v>
      </c>
      <c r="B95" s="6">
        <v>88</v>
      </c>
      <c r="C95" s="6">
        <v>87</v>
      </c>
    </row>
    <row r="96" spans="1:3" ht="15.75" thickBot="1" x14ac:dyDescent="0.3">
      <c r="A96" s="28">
        <v>45585</v>
      </c>
      <c r="B96" s="29">
        <v>80</v>
      </c>
      <c r="C96" s="29">
        <v>68</v>
      </c>
    </row>
    <row r="97" spans="1:3" ht="15.75" thickBot="1" x14ac:dyDescent="0.3">
      <c r="A97" s="17" t="s">
        <v>22</v>
      </c>
      <c r="B97" s="33">
        <f>SUM(B4:B96)</f>
        <v>7726</v>
      </c>
      <c r="C97" s="34">
        <f>SUM(C4:C96)</f>
        <v>6929</v>
      </c>
    </row>
  </sheetData>
  <mergeCells count="1">
    <mergeCell ref="E3:F3"/>
  </mergeCells>
  <pageMargins left="0.7" right="0.7" top="0.75" bottom="0.75" header="0.3" footer="0.3"/>
  <pageSetup scale="84"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73CBF-E859-408F-B589-BBF3C8BAC376}">
  <dimension ref="A1:F97"/>
  <sheetViews>
    <sheetView zoomScaleNormal="100" workbookViewId="0">
      <selection activeCell="H24" sqref="H24"/>
    </sheetView>
  </sheetViews>
  <sheetFormatPr defaultRowHeight="15" x14ac:dyDescent="0.25"/>
  <cols>
    <col min="1" max="1" width="11.42578125" customWidth="1"/>
    <col min="2" max="2" width="20.5703125" bestFit="1" customWidth="1"/>
    <col min="3" max="3" width="20.85546875" bestFit="1" customWidth="1"/>
    <col min="5" max="5" width="21.140625" bestFit="1" customWidth="1"/>
    <col min="6" max="6" width="79.42578125" customWidth="1"/>
    <col min="7" max="7" width="11.140625" bestFit="1" customWidth="1"/>
  </cols>
  <sheetData>
    <row r="1" spans="1:3" x14ac:dyDescent="0.25">
      <c r="A1" t="s">
        <v>0</v>
      </c>
    </row>
    <row r="2" spans="1:3" ht="15.75" thickBot="1" x14ac:dyDescent="0.3"/>
    <row r="3" spans="1:3" ht="15.75" thickBot="1" x14ac:dyDescent="0.3">
      <c r="A3" s="8" t="s">
        <v>3</v>
      </c>
      <c r="B3" s="15" t="s">
        <v>1</v>
      </c>
      <c r="C3" s="16" t="s">
        <v>2</v>
      </c>
    </row>
    <row r="4" spans="1:3" x14ac:dyDescent="0.25">
      <c r="A4" s="12">
        <v>45493</v>
      </c>
      <c r="B4" s="10">
        <v>98</v>
      </c>
      <c r="C4" s="10">
        <v>91</v>
      </c>
    </row>
    <row r="5" spans="1:3" x14ac:dyDescent="0.25">
      <c r="A5" s="9">
        <v>45494</v>
      </c>
      <c r="B5" s="6">
        <v>85</v>
      </c>
      <c r="C5" s="6">
        <v>80</v>
      </c>
    </row>
    <row r="6" spans="1:3" x14ac:dyDescent="0.25">
      <c r="A6" s="9">
        <v>45495</v>
      </c>
      <c r="B6" s="6">
        <v>89</v>
      </c>
      <c r="C6" s="6">
        <v>78</v>
      </c>
    </row>
    <row r="7" spans="1:3" x14ac:dyDescent="0.25">
      <c r="A7" s="9">
        <v>45496</v>
      </c>
      <c r="B7" s="6">
        <v>90</v>
      </c>
      <c r="C7" s="6">
        <v>79</v>
      </c>
    </row>
    <row r="8" spans="1:3" x14ac:dyDescent="0.25">
      <c r="A8" s="9">
        <v>45497</v>
      </c>
      <c r="B8" s="6">
        <v>85</v>
      </c>
      <c r="C8" s="6">
        <v>79</v>
      </c>
    </row>
    <row r="9" spans="1:3" x14ac:dyDescent="0.25">
      <c r="A9" s="9">
        <v>45498</v>
      </c>
      <c r="B9" s="6">
        <v>88</v>
      </c>
      <c r="C9" s="6">
        <v>80</v>
      </c>
    </row>
    <row r="10" spans="1:3" x14ac:dyDescent="0.25">
      <c r="A10" s="9">
        <v>45499</v>
      </c>
      <c r="B10" s="6">
        <v>89</v>
      </c>
      <c r="C10" s="6">
        <v>76</v>
      </c>
    </row>
    <row r="11" spans="1:3" x14ac:dyDescent="0.25">
      <c r="A11" s="9">
        <v>45500</v>
      </c>
      <c r="B11" s="6">
        <v>96</v>
      </c>
      <c r="C11" s="6">
        <v>100</v>
      </c>
    </row>
    <row r="12" spans="1:3" x14ac:dyDescent="0.25">
      <c r="A12" s="9">
        <v>45501</v>
      </c>
      <c r="B12" s="6">
        <v>86</v>
      </c>
      <c r="C12" s="6">
        <v>77</v>
      </c>
    </row>
    <row r="13" spans="1:3" x14ac:dyDescent="0.25">
      <c r="A13" s="9">
        <v>45502</v>
      </c>
      <c r="B13" s="6">
        <v>88</v>
      </c>
      <c r="C13" s="6">
        <v>75</v>
      </c>
    </row>
    <row r="14" spans="1:3" x14ac:dyDescent="0.25">
      <c r="A14" s="9">
        <v>45503</v>
      </c>
      <c r="B14" s="6">
        <v>89</v>
      </c>
      <c r="C14" s="6">
        <v>76</v>
      </c>
    </row>
    <row r="15" spans="1:3" x14ac:dyDescent="0.25">
      <c r="A15" s="9">
        <v>45504</v>
      </c>
      <c r="B15" s="6">
        <v>86</v>
      </c>
      <c r="C15" s="6">
        <v>71</v>
      </c>
    </row>
    <row r="16" spans="1:3" x14ac:dyDescent="0.25">
      <c r="A16" s="9">
        <v>45505</v>
      </c>
      <c r="B16" s="6">
        <v>86</v>
      </c>
      <c r="C16" s="6">
        <v>72</v>
      </c>
    </row>
    <row r="17" spans="1:6" x14ac:dyDescent="0.25">
      <c r="A17" s="9">
        <v>45506</v>
      </c>
      <c r="B17" s="6">
        <v>86</v>
      </c>
      <c r="C17" s="6">
        <v>83</v>
      </c>
    </row>
    <row r="18" spans="1:6" x14ac:dyDescent="0.25">
      <c r="A18" s="9">
        <v>45507</v>
      </c>
      <c r="B18" s="6">
        <v>96</v>
      </c>
      <c r="C18" s="6">
        <v>92</v>
      </c>
    </row>
    <row r="19" spans="1:6" x14ac:dyDescent="0.25">
      <c r="A19" s="9">
        <v>45508</v>
      </c>
      <c r="B19" s="6">
        <v>84</v>
      </c>
      <c r="C19" s="6">
        <v>79</v>
      </c>
    </row>
    <row r="20" spans="1:6" ht="15.75" thickBot="1" x14ac:dyDescent="0.3">
      <c r="A20" s="9">
        <v>45509</v>
      </c>
      <c r="B20" s="6">
        <v>85</v>
      </c>
      <c r="C20" s="6">
        <v>68</v>
      </c>
    </row>
    <row r="21" spans="1:6" ht="15.75" thickBot="1" x14ac:dyDescent="0.3">
      <c r="A21" s="9">
        <v>45510</v>
      </c>
      <c r="B21" s="6">
        <v>83</v>
      </c>
      <c r="C21" s="6">
        <v>78</v>
      </c>
      <c r="E21" s="48" t="s">
        <v>49</v>
      </c>
      <c r="F21" s="49" t="s">
        <v>60</v>
      </c>
    </row>
    <row r="22" spans="1:6" x14ac:dyDescent="0.25">
      <c r="A22" s="9">
        <v>45511</v>
      </c>
      <c r="B22" s="6">
        <v>83</v>
      </c>
      <c r="C22" s="6">
        <v>78</v>
      </c>
      <c r="E22" s="50" t="s">
        <v>50</v>
      </c>
      <c r="F22" s="52" t="s">
        <v>85</v>
      </c>
    </row>
    <row r="23" spans="1:6" x14ac:dyDescent="0.25">
      <c r="A23" s="9">
        <v>45512</v>
      </c>
      <c r="B23" s="6">
        <v>80</v>
      </c>
      <c r="C23" s="6">
        <v>72</v>
      </c>
      <c r="E23" s="51" t="s">
        <v>51</v>
      </c>
      <c r="F23" s="53" t="s">
        <v>61</v>
      </c>
    </row>
    <row r="24" spans="1:6" x14ac:dyDescent="0.25">
      <c r="A24" s="9">
        <v>45513</v>
      </c>
      <c r="B24" s="6">
        <v>84</v>
      </c>
      <c r="C24" s="6">
        <v>79</v>
      </c>
      <c r="E24" s="51" t="s">
        <v>52</v>
      </c>
      <c r="F24" s="53" t="s">
        <v>84</v>
      </c>
    </row>
    <row r="25" spans="1:6" x14ac:dyDescent="0.25">
      <c r="A25" s="9">
        <v>45514</v>
      </c>
      <c r="B25" s="6">
        <v>95</v>
      </c>
      <c r="C25" s="6">
        <v>92</v>
      </c>
      <c r="E25" s="51" t="s">
        <v>53</v>
      </c>
      <c r="F25" s="53" t="s">
        <v>83</v>
      </c>
    </row>
    <row r="26" spans="1:6" x14ac:dyDescent="0.25">
      <c r="A26" s="9">
        <v>45515</v>
      </c>
      <c r="B26" s="6">
        <v>88</v>
      </c>
      <c r="C26" s="6">
        <v>77</v>
      </c>
      <c r="E26" s="51" t="s">
        <v>54</v>
      </c>
      <c r="F26" s="53" t="s">
        <v>62</v>
      </c>
    </row>
    <row r="27" spans="1:6" x14ac:dyDescent="0.25">
      <c r="A27" s="9">
        <v>45516</v>
      </c>
      <c r="B27" s="6">
        <v>86</v>
      </c>
      <c r="C27" s="6">
        <v>81</v>
      </c>
      <c r="E27" s="51" t="s">
        <v>55</v>
      </c>
      <c r="F27" s="53" t="s">
        <v>86</v>
      </c>
    </row>
    <row r="28" spans="1:6" x14ac:dyDescent="0.25">
      <c r="A28" s="9">
        <v>45517</v>
      </c>
      <c r="B28" s="6">
        <v>82</v>
      </c>
      <c r="C28" s="6">
        <v>78</v>
      </c>
      <c r="E28" s="51" t="s">
        <v>56</v>
      </c>
      <c r="F28" s="53" t="s">
        <v>63</v>
      </c>
    </row>
    <row r="29" spans="1:6" x14ac:dyDescent="0.25">
      <c r="A29" s="9">
        <v>45518</v>
      </c>
      <c r="B29" s="6">
        <v>89</v>
      </c>
      <c r="C29" s="6">
        <v>75</v>
      </c>
      <c r="E29" s="51" t="s">
        <v>57</v>
      </c>
      <c r="F29" s="53" t="s">
        <v>87</v>
      </c>
    </row>
    <row r="30" spans="1:6" x14ac:dyDescent="0.25">
      <c r="A30" s="9">
        <v>45519</v>
      </c>
      <c r="B30" s="6">
        <v>86</v>
      </c>
      <c r="C30" s="6">
        <v>79</v>
      </c>
      <c r="E30" s="51" t="s">
        <v>58</v>
      </c>
      <c r="F30" s="53" t="s">
        <v>88</v>
      </c>
    </row>
    <row r="31" spans="1:6" x14ac:dyDescent="0.25">
      <c r="A31" s="9">
        <v>45520</v>
      </c>
      <c r="B31" s="6">
        <v>87</v>
      </c>
      <c r="C31" s="6">
        <v>79</v>
      </c>
      <c r="E31" s="51" t="s">
        <v>59</v>
      </c>
      <c r="F31" s="53" t="s">
        <v>64</v>
      </c>
    </row>
    <row r="32" spans="1:6" x14ac:dyDescent="0.25">
      <c r="A32" s="9">
        <v>45521</v>
      </c>
      <c r="B32" s="6">
        <v>97</v>
      </c>
      <c r="C32" s="6">
        <v>97</v>
      </c>
    </row>
    <row r="33" spans="1:3" x14ac:dyDescent="0.25">
      <c r="A33" s="9">
        <v>45522</v>
      </c>
      <c r="B33" s="6">
        <v>91</v>
      </c>
      <c r="C33" s="6">
        <v>80</v>
      </c>
    </row>
    <row r="34" spans="1:3" x14ac:dyDescent="0.25">
      <c r="A34" s="9">
        <v>45523</v>
      </c>
      <c r="B34" s="6">
        <v>88</v>
      </c>
      <c r="C34" s="6">
        <v>78</v>
      </c>
    </row>
    <row r="35" spans="1:3" x14ac:dyDescent="0.25">
      <c r="A35" s="9">
        <v>45524</v>
      </c>
      <c r="B35" s="6">
        <v>85</v>
      </c>
      <c r="C35" s="6">
        <v>78</v>
      </c>
    </row>
    <row r="36" spans="1:3" x14ac:dyDescent="0.25">
      <c r="A36" s="9">
        <v>45525</v>
      </c>
      <c r="B36" s="6">
        <v>86</v>
      </c>
      <c r="C36" s="6">
        <v>76</v>
      </c>
    </row>
    <row r="37" spans="1:3" x14ac:dyDescent="0.25">
      <c r="A37" s="9">
        <v>45526</v>
      </c>
      <c r="B37" s="6">
        <v>88</v>
      </c>
      <c r="C37" s="6">
        <v>80</v>
      </c>
    </row>
    <row r="38" spans="1:3" x14ac:dyDescent="0.25">
      <c r="A38" s="9">
        <v>45527</v>
      </c>
      <c r="B38" s="6">
        <v>82</v>
      </c>
      <c r="C38" s="6">
        <v>70</v>
      </c>
    </row>
    <row r="39" spans="1:3" x14ac:dyDescent="0.25">
      <c r="A39" s="9">
        <v>45528</v>
      </c>
      <c r="B39" s="6">
        <v>99</v>
      </c>
      <c r="C39" s="6">
        <v>98</v>
      </c>
    </row>
    <row r="40" spans="1:3" x14ac:dyDescent="0.25">
      <c r="A40" s="9">
        <v>45529</v>
      </c>
      <c r="B40" s="6">
        <v>92</v>
      </c>
      <c r="C40" s="6">
        <v>80</v>
      </c>
    </row>
    <row r="41" spans="1:3" x14ac:dyDescent="0.25">
      <c r="A41" s="9">
        <v>45530</v>
      </c>
      <c r="B41" s="6">
        <v>81</v>
      </c>
      <c r="C41" s="6">
        <v>75</v>
      </c>
    </row>
    <row r="42" spans="1:3" x14ac:dyDescent="0.25">
      <c r="A42" s="9">
        <v>45531</v>
      </c>
      <c r="B42" s="6">
        <v>83</v>
      </c>
      <c r="C42" s="6">
        <v>73</v>
      </c>
    </row>
    <row r="43" spans="1:3" x14ac:dyDescent="0.25">
      <c r="A43" s="9">
        <v>45532</v>
      </c>
      <c r="B43" s="6">
        <v>87</v>
      </c>
      <c r="C43" s="6">
        <v>76</v>
      </c>
    </row>
    <row r="44" spans="1:3" x14ac:dyDescent="0.25">
      <c r="A44" s="9">
        <v>45533</v>
      </c>
      <c r="B44" s="6">
        <v>81</v>
      </c>
      <c r="C44" s="6">
        <v>73</v>
      </c>
    </row>
    <row r="45" spans="1:3" x14ac:dyDescent="0.25">
      <c r="A45" s="9">
        <v>45534</v>
      </c>
      <c r="B45" s="6">
        <v>84</v>
      </c>
      <c r="C45" s="6">
        <v>75</v>
      </c>
    </row>
    <row r="46" spans="1:3" x14ac:dyDescent="0.25">
      <c r="A46" s="9">
        <v>45535</v>
      </c>
      <c r="B46" s="6">
        <v>89</v>
      </c>
      <c r="C46" s="6">
        <v>92</v>
      </c>
    </row>
    <row r="47" spans="1:3" x14ac:dyDescent="0.25">
      <c r="A47" s="9">
        <v>45536</v>
      </c>
      <c r="B47" s="6">
        <v>83</v>
      </c>
      <c r="C47" s="6">
        <v>73</v>
      </c>
    </row>
    <row r="48" spans="1:3" x14ac:dyDescent="0.25">
      <c r="A48" s="9">
        <v>45537</v>
      </c>
      <c r="B48" s="6">
        <v>89</v>
      </c>
      <c r="C48" s="6">
        <v>80</v>
      </c>
    </row>
    <row r="49" spans="1:3" x14ac:dyDescent="0.25">
      <c r="A49" s="9">
        <v>45538</v>
      </c>
      <c r="B49" s="6">
        <v>75</v>
      </c>
      <c r="C49" s="6">
        <v>71</v>
      </c>
    </row>
    <row r="50" spans="1:3" x14ac:dyDescent="0.25">
      <c r="A50" s="9">
        <v>45539</v>
      </c>
      <c r="B50" s="6">
        <v>77</v>
      </c>
      <c r="C50" s="6">
        <v>71</v>
      </c>
    </row>
    <row r="51" spans="1:3" x14ac:dyDescent="0.25">
      <c r="A51" s="9">
        <v>45540</v>
      </c>
      <c r="B51" s="6">
        <v>77</v>
      </c>
      <c r="C51" s="6">
        <v>64</v>
      </c>
    </row>
    <row r="52" spans="1:3" x14ac:dyDescent="0.25">
      <c r="A52" s="9">
        <v>45541</v>
      </c>
      <c r="B52" s="6">
        <v>79</v>
      </c>
      <c r="C52" s="6">
        <v>67</v>
      </c>
    </row>
    <row r="53" spans="1:3" x14ac:dyDescent="0.25">
      <c r="A53" s="9">
        <v>45542</v>
      </c>
      <c r="B53" s="6">
        <v>89</v>
      </c>
      <c r="C53" s="6">
        <v>83</v>
      </c>
    </row>
    <row r="54" spans="1:3" x14ac:dyDescent="0.25">
      <c r="A54" s="9">
        <v>45543</v>
      </c>
      <c r="B54" s="6">
        <v>74</v>
      </c>
      <c r="C54" s="6">
        <v>68</v>
      </c>
    </row>
    <row r="55" spans="1:3" x14ac:dyDescent="0.25">
      <c r="A55" s="9">
        <v>45544</v>
      </c>
      <c r="B55" s="6">
        <v>79</v>
      </c>
      <c r="C55" s="6">
        <v>68</v>
      </c>
    </row>
    <row r="56" spans="1:3" x14ac:dyDescent="0.25">
      <c r="A56" s="9">
        <v>45545</v>
      </c>
      <c r="B56" s="6">
        <v>75</v>
      </c>
      <c r="C56" s="6">
        <v>68</v>
      </c>
    </row>
    <row r="57" spans="1:3" x14ac:dyDescent="0.25">
      <c r="A57" s="9">
        <v>45546</v>
      </c>
      <c r="B57" s="6">
        <v>73</v>
      </c>
      <c r="C57" s="6">
        <v>64</v>
      </c>
    </row>
    <row r="58" spans="1:3" x14ac:dyDescent="0.25">
      <c r="A58" s="9">
        <v>45547</v>
      </c>
      <c r="B58" s="6">
        <v>78</v>
      </c>
      <c r="C58" s="6">
        <v>68</v>
      </c>
    </row>
    <row r="59" spans="1:3" x14ac:dyDescent="0.25">
      <c r="A59" s="9">
        <v>45548</v>
      </c>
      <c r="B59" s="6">
        <v>77</v>
      </c>
      <c r="C59" s="6">
        <v>67</v>
      </c>
    </row>
    <row r="60" spans="1:3" x14ac:dyDescent="0.25">
      <c r="A60" s="9">
        <v>45549</v>
      </c>
      <c r="B60" s="6">
        <v>94</v>
      </c>
      <c r="C60" s="6">
        <v>84</v>
      </c>
    </row>
    <row r="61" spans="1:3" x14ac:dyDescent="0.25">
      <c r="A61" s="9">
        <v>45550</v>
      </c>
      <c r="B61" s="6">
        <v>77</v>
      </c>
      <c r="C61" s="6">
        <v>67</v>
      </c>
    </row>
    <row r="62" spans="1:3" x14ac:dyDescent="0.25">
      <c r="A62" s="9">
        <v>45551</v>
      </c>
      <c r="B62" s="6">
        <v>82</v>
      </c>
      <c r="C62" s="6">
        <v>69</v>
      </c>
    </row>
    <row r="63" spans="1:3" x14ac:dyDescent="0.25">
      <c r="A63" s="9">
        <v>45552</v>
      </c>
      <c r="B63" s="6">
        <v>79</v>
      </c>
      <c r="C63" s="6">
        <v>66</v>
      </c>
    </row>
    <row r="64" spans="1:3" x14ac:dyDescent="0.25">
      <c r="A64" s="9">
        <v>45553</v>
      </c>
      <c r="B64" s="6">
        <v>75</v>
      </c>
      <c r="C64" s="6">
        <v>69</v>
      </c>
    </row>
    <row r="65" spans="1:3" x14ac:dyDescent="0.25">
      <c r="A65" s="9">
        <v>45554</v>
      </c>
      <c r="B65" s="6">
        <v>78</v>
      </c>
      <c r="C65" s="6">
        <v>67</v>
      </c>
    </row>
    <row r="66" spans="1:3" x14ac:dyDescent="0.25">
      <c r="A66" s="9">
        <v>45555</v>
      </c>
      <c r="B66" s="6">
        <v>80</v>
      </c>
      <c r="C66" s="6">
        <v>71</v>
      </c>
    </row>
    <row r="67" spans="1:3" x14ac:dyDescent="0.25">
      <c r="A67" s="9">
        <v>45556</v>
      </c>
      <c r="B67" s="6">
        <v>94</v>
      </c>
      <c r="C67" s="6">
        <v>88</v>
      </c>
    </row>
    <row r="68" spans="1:3" x14ac:dyDescent="0.25">
      <c r="A68" s="9">
        <v>45557</v>
      </c>
      <c r="B68" s="6">
        <v>78</v>
      </c>
      <c r="C68" s="6">
        <v>72</v>
      </c>
    </row>
    <row r="69" spans="1:3" x14ac:dyDescent="0.25">
      <c r="A69" s="9">
        <v>45558</v>
      </c>
      <c r="B69" s="6">
        <v>81</v>
      </c>
      <c r="C69" s="6">
        <v>67</v>
      </c>
    </row>
    <row r="70" spans="1:3" x14ac:dyDescent="0.25">
      <c r="A70" s="9">
        <v>45559</v>
      </c>
      <c r="B70" s="6">
        <v>78</v>
      </c>
      <c r="C70" s="6">
        <v>64</v>
      </c>
    </row>
    <row r="71" spans="1:3" x14ac:dyDescent="0.25">
      <c r="A71" s="9">
        <v>45560</v>
      </c>
      <c r="B71" s="6">
        <v>77</v>
      </c>
      <c r="C71" s="6">
        <v>65</v>
      </c>
    </row>
    <row r="72" spans="1:3" x14ac:dyDescent="0.25">
      <c r="A72" s="9">
        <v>45561</v>
      </c>
      <c r="B72" s="6">
        <v>72</v>
      </c>
      <c r="C72" s="6">
        <v>63</v>
      </c>
    </row>
    <row r="73" spans="1:3" x14ac:dyDescent="0.25">
      <c r="A73" s="9">
        <v>45562</v>
      </c>
      <c r="B73" s="6">
        <v>77</v>
      </c>
      <c r="C73" s="6">
        <v>65</v>
      </c>
    </row>
    <row r="74" spans="1:3" x14ac:dyDescent="0.25">
      <c r="A74" s="9">
        <v>45563</v>
      </c>
      <c r="B74" s="6">
        <v>89</v>
      </c>
      <c r="C74" s="6">
        <v>82</v>
      </c>
    </row>
    <row r="75" spans="1:3" x14ac:dyDescent="0.25">
      <c r="A75" s="9">
        <v>45564</v>
      </c>
      <c r="B75" s="6">
        <v>76</v>
      </c>
      <c r="C75" s="6">
        <v>68</v>
      </c>
    </row>
    <row r="76" spans="1:3" x14ac:dyDescent="0.25">
      <c r="A76" s="9">
        <v>45565</v>
      </c>
      <c r="B76" s="6">
        <v>73</v>
      </c>
      <c r="C76" s="6">
        <v>66</v>
      </c>
    </row>
    <row r="77" spans="1:3" x14ac:dyDescent="0.25">
      <c r="A77" s="9">
        <v>45566</v>
      </c>
      <c r="B77" s="6">
        <v>76</v>
      </c>
      <c r="C77" s="6">
        <v>65</v>
      </c>
    </row>
    <row r="78" spans="1:3" x14ac:dyDescent="0.25">
      <c r="A78" s="9">
        <v>45567</v>
      </c>
      <c r="B78" s="6">
        <v>73</v>
      </c>
      <c r="C78" s="6">
        <v>69</v>
      </c>
    </row>
    <row r="79" spans="1:3" x14ac:dyDescent="0.25">
      <c r="A79" s="9">
        <v>45568</v>
      </c>
      <c r="B79" s="6">
        <v>77</v>
      </c>
      <c r="C79" s="6">
        <v>65</v>
      </c>
    </row>
    <row r="80" spans="1:3" x14ac:dyDescent="0.25">
      <c r="A80" s="9">
        <v>45569</v>
      </c>
      <c r="B80" s="6">
        <v>79</v>
      </c>
      <c r="C80" s="6">
        <v>66</v>
      </c>
    </row>
    <row r="81" spans="1:3" x14ac:dyDescent="0.25">
      <c r="A81" s="9">
        <v>45570</v>
      </c>
      <c r="B81" s="6">
        <v>82</v>
      </c>
      <c r="C81" s="6">
        <v>85</v>
      </c>
    </row>
    <row r="82" spans="1:3" x14ac:dyDescent="0.25">
      <c r="A82" s="9">
        <v>45571</v>
      </c>
      <c r="B82" s="6">
        <v>74</v>
      </c>
      <c r="C82" s="6">
        <v>67</v>
      </c>
    </row>
    <row r="83" spans="1:3" x14ac:dyDescent="0.25">
      <c r="A83" s="9">
        <v>45572</v>
      </c>
      <c r="B83" s="6">
        <v>77</v>
      </c>
      <c r="C83" s="6">
        <v>65</v>
      </c>
    </row>
    <row r="84" spans="1:3" x14ac:dyDescent="0.25">
      <c r="A84" s="9">
        <v>45573</v>
      </c>
      <c r="B84" s="6">
        <v>72</v>
      </c>
      <c r="C84" s="6">
        <v>62</v>
      </c>
    </row>
    <row r="85" spans="1:3" x14ac:dyDescent="0.25">
      <c r="A85" s="9">
        <v>45574</v>
      </c>
      <c r="B85" s="6">
        <v>73</v>
      </c>
      <c r="C85" s="6">
        <v>65</v>
      </c>
    </row>
    <row r="86" spans="1:3" x14ac:dyDescent="0.25">
      <c r="A86" s="9">
        <v>45575</v>
      </c>
      <c r="B86" s="6">
        <v>73</v>
      </c>
      <c r="C86" s="6">
        <v>69</v>
      </c>
    </row>
    <row r="87" spans="1:3" x14ac:dyDescent="0.25">
      <c r="A87" s="9">
        <v>45576</v>
      </c>
      <c r="B87" s="6">
        <v>79</v>
      </c>
      <c r="C87" s="6">
        <v>69</v>
      </c>
    </row>
    <row r="88" spans="1:3" x14ac:dyDescent="0.25">
      <c r="A88" s="9">
        <v>45577</v>
      </c>
      <c r="B88" s="6">
        <v>100</v>
      </c>
      <c r="C88" s="6">
        <v>89</v>
      </c>
    </row>
    <row r="89" spans="1:3" x14ac:dyDescent="0.25">
      <c r="A89" s="9">
        <v>45578</v>
      </c>
      <c r="B89" s="6">
        <v>79</v>
      </c>
      <c r="C89" s="6">
        <v>70</v>
      </c>
    </row>
    <row r="90" spans="1:3" x14ac:dyDescent="0.25">
      <c r="A90" s="9">
        <v>45579</v>
      </c>
      <c r="B90" s="6">
        <v>83</v>
      </c>
      <c r="C90" s="6">
        <v>71</v>
      </c>
    </row>
    <row r="91" spans="1:3" x14ac:dyDescent="0.25">
      <c r="A91" s="9">
        <v>45580</v>
      </c>
      <c r="B91" s="6">
        <v>78</v>
      </c>
      <c r="C91" s="6">
        <v>67</v>
      </c>
    </row>
    <row r="92" spans="1:3" x14ac:dyDescent="0.25">
      <c r="A92" s="9">
        <v>45581</v>
      </c>
      <c r="B92" s="6">
        <v>78</v>
      </c>
      <c r="C92" s="6">
        <v>65</v>
      </c>
    </row>
    <row r="93" spans="1:3" x14ac:dyDescent="0.25">
      <c r="A93" s="9">
        <v>45582</v>
      </c>
      <c r="B93" s="6">
        <v>76</v>
      </c>
      <c r="C93" s="6">
        <v>66</v>
      </c>
    </row>
    <row r="94" spans="1:3" x14ac:dyDescent="0.25">
      <c r="A94" s="9">
        <v>45583</v>
      </c>
      <c r="B94" s="6">
        <v>82</v>
      </c>
      <c r="C94" s="6">
        <v>69</v>
      </c>
    </row>
    <row r="95" spans="1:3" x14ac:dyDescent="0.25">
      <c r="A95" s="9">
        <v>45584</v>
      </c>
      <c r="B95" s="6">
        <v>88</v>
      </c>
      <c r="C95" s="6">
        <v>87</v>
      </c>
    </row>
    <row r="96" spans="1:3" ht="15.75" thickBot="1" x14ac:dyDescent="0.3">
      <c r="A96" s="28">
        <v>45585</v>
      </c>
      <c r="B96" s="29">
        <v>80</v>
      </c>
      <c r="C96" s="29">
        <v>68</v>
      </c>
    </row>
    <row r="97" spans="1:3" ht="15.75" thickBot="1" x14ac:dyDescent="0.3">
      <c r="A97" s="17" t="s">
        <v>22</v>
      </c>
      <c r="B97" s="33">
        <f>SUM(B4:B96)</f>
        <v>7726</v>
      </c>
      <c r="C97" s="34">
        <f>SUM(C4:C96)</f>
        <v>6929</v>
      </c>
    </row>
  </sheetData>
  <pageMargins left="0.7" right="0.7" top="0.75" bottom="0.75" header="0.3" footer="0.3"/>
  <pageSetup scale="4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Summary</vt:lpstr>
      <vt:lpstr>Raw Data</vt:lpstr>
      <vt:lpstr>Avg,Min,Max,Median,Mode,Count</vt:lpstr>
      <vt:lpstr>CountIF,Frequency</vt:lpstr>
      <vt:lpstr>Vlookup,INdexMatch</vt:lpstr>
      <vt:lpstr>SumIF,AvgIF</vt:lpstr>
      <vt:lpstr>Charts and Visualization</vt:lpstr>
      <vt:lpstr>'Avg,Min,Max,Median,Mode,Count'!Print_Area</vt:lpstr>
      <vt:lpstr>'Charts and Visualization'!Print_Area</vt:lpstr>
      <vt:lpstr>'CountIF,Frequency'!Print_Area</vt:lpstr>
      <vt:lpstr>'SumIF,AvgIF'!Print_Area</vt:lpstr>
      <vt:lpstr>Summary!Print_Area</vt:lpstr>
      <vt:lpstr>'Vlookup,INdexMatch'!Print_Area</vt:lpstr>
      <vt:lpstr>Scale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Xiong</dc:creator>
  <cp:lastModifiedBy>Jesse Xiong</cp:lastModifiedBy>
  <cp:lastPrinted>2024-10-21T18:52:00Z</cp:lastPrinted>
  <dcterms:created xsi:type="dcterms:W3CDTF">2024-10-21T15:32:45Z</dcterms:created>
  <dcterms:modified xsi:type="dcterms:W3CDTF">2024-12-09T00:50:02Z</dcterms:modified>
</cp:coreProperties>
</file>